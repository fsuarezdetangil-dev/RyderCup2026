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dbg.ADS.DB.com\ATOSDFS\DATA\ESP\MPBANKIN\Juan Suárez de Lezo\Juan personal\Ryder\"/>
    </mc:Choice>
  </mc:AlternateContent>
  <xr:revisionPtr revIDLastSave="0" documentId="13_ncr:1_{49C8F70B-FB63-4B67-8925-66A4F36EEBFA}" xr6:coauthVersionLast="47" xr6:coauthVersionMax="47" xr10:uidLastSave="{00000000-0000-0000-0000-000000000000}"/>
  <bookViews>
    <workbookView xWindow="4200" yWindow="4200" windowWidth="21450" windowHeight="15735" xr2:uid="{00000000-000D-0000-FFFF-FFFF00000000}"/>
  </bookViews>
  <sheets>
    <sheet name="Handicaps" sheetId="16" r:id="rId1"/>
    <sheet name="Resumen" sheetId="12" r:id="rId2"/>
    <sheet name="Marcos" sheetId="11" r:id="rId3"/>
    <sheet name="Juan" sheetId="10" r:id="rId4"/>
    <sheet name="Diego" sheetId="9" r:id="rId5"/>
    <sheet name="Fertxo" sheetId="7" r:id="rId6"/>
    <sheet name="Nacho" sheetId="4" r:id="rId7"/>
    <sheet name="Pedro" sheetId="1" r:id="rId8"/>
    <sheet name="Jido" sheetId="6" r:id="rId9"/>
    <sheet name="Jacobo" sheetId="2" r:id="rId10"/>
    <sheet name="Gurpegui" sheetId="15" r:id="rId11"/>
    <sheet name="Medina" sheetId="14" r:id="rId12"/>
    <sheet name="Herrero" sheetId="8" r:id="rId13"/>
    <sheet name="Ratón" sheetId="13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16" l="1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E7" i="10" l="1"/>
  <c r="E6" i="10"/>
  <c r="E5" i="10"/>
  <c r="K23" i="12"/>
  <c r="J23" i="12"/>
  <c r="I23" i="12"/>
  <c r="K22" i="12"/>
  <c r="J22" i="12"/>
  <c r="I22" i="12"/>
  <c r="K21" i="12"/>
  <c r="J21" i="12"/>
  <c r="I21" i="12"/>
  <c r="K20" i="12"/>
  <c r="J20" i="12"/>
  <c r="I20" i="12"/>
  <c r="K19" i="12"/>
  <c r="J19" i="12"/>
  <c r="I19" i="12"/>
  <c r="E7" i="8"/>
  <c r="Q10" i="8"/>
  <c r="H9" i="8"/>
  <c r="K9" i="8"/>
  <c r="N9" i="8"/>
  <c r="Q9" i="8"/>
  <c r="Q20" i="8"/>
  <c r="O19" i="8"/>
  <c r="Q19" i="8"/>
  <c r="L19" i="8"/>
  <c r="I19" i="8"/>
  <c r="H10" i="14"/>
  <c r="K10" i="14"/>
  <c r="N10" i="14"/>
  <c r="Q10" i="14" s="1"/>
  <c r="Q12" i="14" s="1"/>
  <c r="H11" i="14"/>
  <c r="Q11" i="14" s="1"/>
  <c r="K11" i="14"/>
  <c r="N11" i="14"/>
  <c r="Q30" i="14"/>
  <c r="Q28" i="14"/>
  <c r="O28" i="14"/>
  <c r="L28" i="14"/>
  <c r="I28" i="14"/>
  <c r="Q30" i="15"/>
  <c r="Q12" i="15"/>
  <c r="H10" i="15"/>
  <c r="Q10" i="15" s="1"/>
  <c r="K10" i="15"/>
  <c r="N10" i="15"/>
  <c r="H11" i="15"/>
  <c r="Q11" i="15" s="1"/>
  <c r="K11" i="15"/>
  <c r="N11" i="15"/>
  <c r="Q28" i="15"/>
  <c r="O28" i="15"/>
  <c r="L28" i="15"/>
  <c r="I28" i="15"/>
  <c r="Q34" i="2"/>
  <c r="Q16" i="2"/>
  <c r="E5" i="2"/>
  <c r="D28" i="2"/>
  <c r="D27" i="2"/>
  <c r="D26" i="2"/>
  <c r="D23" i="2"/>
  <c r="D22" i="2"/>
  <c r="D21" i="2"/>
  <c r="D18" i="2"/>
  <c r="D17" i="2"/>
  <c r="D16" i="2"/>
  <c r="H14" i="2"/>
  <c r="Q14" i="2" s="1"/>
  <c r="K14" i="2"/>
  <c r="N14" i="2"/>
  <c r="H15" i="2"/>
  <c r="K15" i="2"/>
  <c r="N15" i="2"/>
  <c r="Q15" i="2"/>
  <c r="Q32" i="2"/>
  <c r="O32" i="2"/>
  <c r="L32" i="2"/>
  <c r="I32" i="2"/>
  <c r="Q34" i="6"/>
  <c r="E5" i="6"/>
  <c r="H14" i="6"/>
  <c r="Q14" i="6" s="1"/>
  <c r="K14" i="6"/>
  <c r="N14" i="6"/>
  <c r="N15" i="6"/>
  <c r="Q32" i="6"/>
  <c r="O32" i="6"/>
  <c r="L32" i="6"/>
  <c r="I32" i="6"/>
  <c r="D28" i="1"/>
  <c r="D27" i="1"/>
  <c r="D26" i="1"/>
  <c r="D23" i="1"/>
  <c r="D22" i="1"/>
  <c r="D21" i="1"/>
  <c r="D18" i="1"/>
  <c r="D17" i="1"/>
  <c r="D16" i="1"/>
  <c r="N34" i="1"/>
  <c r="O33" i="1"/>
  <c r="Q33" i="1"/>
  <c r="Q34" i="1" s="1"/>
  <c r="K34" i="1"/>
  <c r="L33" i="1"/>
  <c r="H34" i="1"/>
  <c r="I33" i="1"/>
  <c r="Q16" i="1"/>
  <c r="D30" i="4"/>
  <c r="D29" i="4"/>
  <c r="D28" i="4"/>
  <c r="D25" i="4"/>
  <c r="D24" i="4"/>
  <c r="D23" i="4"/>
  <c r="D20" i="4"/>
  <c r="D19" i="4"/>
  <c r="D18" i="4"/>
  <c r="E7" i="4"/>
  <c r="H15" i="4"/>
  <c r="Q15" i="4" s="1"/>
  <c r="Q16" i="4" s="1"/>
  <c r="K15" i="4"/>
  <c r="N15" i="4"/>
  <c r="Q34" i="4"/>
  <c r="N34" i="4"/>
  <c r="O33" i="4"/>
  <c r="Q33" i="4"/>
  <c r="K34" i="4"/>
  <c r="L33" i="4"/>
  <c r="H34" i="4"/>
  <c r="I33" i="4"/>
  <c r="E6" i="7"/>
  <c r="H14" i="7"/>
  <c r="K14" i="7"/>
  <c r="Q14" i="7" s="1"/>
  <c r="Q16" i="7" s="1"/>
  <c r="N14" i="7"/>
  <c r="H15" i="7"/>
  <c r="Q15" i="7" s="1"/>
  <c r="K15" i="7"/>
  <c r="N15" i="7"/>
  <c r="Q34" i="7"/>
  <c r="Q32" i="7"/>
  <c r="O32" i="7"/>
  <c r="L32" i="7"/>
  <c r="I32" i="7"/>
  <c r="D17" i="9"/>
  <c r="E6" i="9"/>
  <c r="Q34" i="9"/>
  <c r="Q16" i="9"/>
  <c r="H14" i="9"/>
  <c r="Q14" i="9" s="1"/>
  <c r="K14" i="9"/>
  <c r="N14" i="9"/>
  <c r="H15" i="9"/>
  <c r="Q15" i="9" s="1"/>
  <c r="K15" i="9"/>
  <c r="N15" i="9"/>
  <c r="Q32" i="9"/>
  <c r="O32" i="9"/>
  <c r="L32" i="9"/>
  <c r="I32" i="9"/>
  <c r="D16" i="10"/>
  <c r="Q34" i="10"/>
  <c r="H14" i="10"/>
  <c r="Q14" i="10" s="1"/>
  <c r="K14" i="10"/>
  <c r="N14" i="10"/>
  <c r="H15" i="10"/>
  <c r="K15" i="10"/>
  <c r="N15" i="10"/>
  <c r="Q15" i="10"/>
  <c r="Q32" i="10"/>
  <c r="O32" i="10"/>
  <c r="L32" i="10"/>
  <c r="I32" i="10"/>
  <c r="D16" i="11"/>
  <c r="E6" i="11"/>
  <c r="H14" i="11"/>
  <c r="Q14" i="11" s="1"/>
  <c r="K14" i="11"/>
  <c r="N14" i="11"/>
  <c r="H15" i="11"/>
  <c r="Q15" i="11" s="1"/>
  <c r="Q16" i="11" s="1"/>
  <c r="K15" i="11"/>
  <c r="N15" i="11"/>
  <c r="L33" i="11"/>
  <c r="I33" i="11"/>
  <c r="Q32" i="11"/>
  <c r="O32" i="11"/>
  <c r="L32" i="11"/>
  <c r="I32" i="11"/>
  <c r="H34" i="10"/>
  <c r="N34" i="10"/>
  <c r="K34" i="10"/>
  <c r="K32" i="12"/>
  <c r="J32" i="12"/>
  <c r="I32" i="12"/>
  <c r="K31" i="12"/>
  <c r="J31" i="12"/>
  <c r="I31" i="12"/>
  <c r="K30" i="12"/>
  <c r="J30" i="12"/>
  <c r="I30" i="12"/>
  <c r="K29" i="12"/>
  <c r="J29" i="12"/>
  <c r="I29" i="12"/>
  <c r="K28" i="12"/>
  <c r="J28" i="12"/>
  <c r="I28" i="12"/>
  <c r="K30" i="14"/>
  <c r="L29" i="14"/>
  <c r="I29" i="14"/>
  <c r="Q29" i="14"/>
  <c r="O29" i="14"/>
  <c r="E7" i="14"/>
  <c r="N30" i="14"/>
  <c r="H30" i="14"/>
  <c r="H30" i="15"/>
  <c r="K30" i="15"/>
  <c r="N30" i="15"/>
  <c r="O29" i="15"/>
  <c r="Q29" i="15"/>
  <c r="L29" i="15"/>
  <c r="I29" i="15"/>
  <c r="E7" i="15"/>
  <c r="O33" i="2"/>
  <c r="Q33" i="2"/>
  <c r="L33" i="2"/>
  <c r="I33" i="2"/>
  <c r="H34" i="2"/>
  <c r="K34" i="2"/>
  <c r="N34" i="2"/>
  <c r="N34" i="6"/>
  <c r="O33" i="6"/>
  <c r="Q33" i="6"/>
  <c r="K34" i="6"/>
  <c r="L33" i="6"/>
  <c r="H15" i="6" s="1"/>
  <c r="H34" i="6"/>
  <c r="I33" i="6"/>
  <c r="O32" i="1"/>
  <c r="Q32" i="1"/>
  <c r="L32" i="1"/>
  <c r="I32" i="1"/>
  <c r="E7" i="11"/>
  <c r="E5" i="1"/>
  <c r="O32" i="4"/>
  <c r="L32" i="4"/>
  <c r="I32" i="4"/>
  <c r="H14" i="4"/>
  <c r="K14" i="4"/>
  <c r="N14" i="4"/>
  <c r="Q32" i="4"/>
  <c r="L33" i="7"/>
  <c r="I33" i="7"/>
  <c r="Q33" i="7"/>
  <c r="O33" i="7"/>
  <c r="N34" i="7"/>
  <c r="K34" i="7"/>
  <c r="H34" i="7"/>
  <c r="H34" i="9"/>
  <c r="K34" i="9"/>
  <c r="N34" i="9"/>
  <c r="O33" i="9"/>
  <c r="Q33" i="9"/>
  <c r="L33" i="9"/>
  <c r="I33" i="9"/>
  <c r="O33" i="10"/>
  <c r="Q33" i="10"/>
  <c r="L33" i="10"/>
  <c r="I33" i="10"/>
  <c r="N34" i="11"/>
  <c r="H34" i="11"/>
  <c r="K34" i="11"/>
  <c r="K41" i="12"/>
  <c r="J41" i="12"/>
  <c r="I41" i="12"/>
  <c r="K40" i="12"/>
  <c r="J40" i="12"/>
  <c r="I40" i="12"/>
  <c r="K39" i="12"/>
  <c r="J39" i="12"/>
  <c r="I39" i="12"/>
  <c r="K38" i="12"/>
  <c r="J38" i="12"/>
  <c r="I38" i="12"/>
  <c r="K37" i="12"/>
  <c r="J37" i="12"/>
  <c r="I37" i="12"/>
  <c r="O27" i="14"/>
  <c r="Q27" i="14"/>
  <c r="L27" i="14"/>
  <c r="I27" i="14"/>
  <c r="Q27" i="15"/>
  <c r="O27" i="15"/>
  <c r="L27" i="15"/>
  <c r="I27" i="15"/>
  <c r="N9" i="15" s="1"/>
  <c r="O31" i="2"/>
  <c r="Q31" i="2"/>
  <c r="L31" i="2"/>
  <c r="I31" i="2"/>
  <c r="O31" i="6"/>
  <c r="Q31" i="6"/>
  <c r="L31" i="6"/>
  <c r="I31" i="6"/>
  <c r="O31" i="1"/>
  <c r="Q31" i="1"/>
  <c r="L31" i="1"/>
  <c r="I31" i="1"/>
  <c r="O31" i="4"/>
  <c r="Q31" i="4"/>
  <c r="L31" i="4"/>
  <c r="I31" i="4"/>
  <c r="H13" i="4" s="1"/>
  <c r="O31" i="7"/>
  <c r="Q31" i="7"/>
  <c r="L31" i="7"/>
  <c r="I31" i="7"/>
  <c r="O31" i="9"/>
  <c r="Q31" i="9"/>
  <c r="L31" i="9"/>
  <c r="H13" i="9" s="1"/>
  <c r="I31" i="9"/>
  <c r="N13" i="9" s="1"/>
  <c r="K17" i="12" l="1"/>
  <c r="H13" i="2"/>
  <c r="K15" i="6"/>
  <c r="Q15" i="6" s="1"/>
  <c r="Q16" i="6" s="1"/>
  <c r="H13" i="1"/>
  <c r="H14" i="1"/>
  <c r="D17" i="4"/>
  <c r="H9" i="14"/>
  <c r="N9" i="14"/>
  <c r="K9" i="14"/>
  <c r="K9" i="15"/>
  <c r="H9" i="15"/>
  <c r="Q9" i="15" s="1"/>
  <c r="N13" i="2"/>
  <c r="K13" i="2"/>
  <c r="K13" i="6"/>
  <c r="N14" i="1"/>
  <c r="K14" i="1"/>
  <c r="Q14" i="1" s="1"/>
  <c r="N13" i="1"/>
  <c r="K13" i="1"/>
  <c r="Q14" i="4"/>
  <c r="N13" i="4"/>
  <c r="K13" i="4"/>
  <c r="Q13" i="4" s="1"/>
  <c r="H13" i="7"/>
  <c r="N13" i="7"/>
  <c r="K13" i="7"/>
  <c r="K13" i="9"/>
  <c r="Q13" i="9" s="1"/>
  <c r="K26" i="12"/>
  <c r="H13" i="6"/>
  <c r="N13" i="6"/>
  <c r="Q13" i="6" l="1"/>
  <c r="Q13" i="1"/>
  <c r="Q13" i="7"/>
  <c r="Q9" i="14"/>
  <c r="Q13" i="2"/>
  <c r="O31" i="10"/>
  <c r="Q31" i="10"/>
  <c r="L31" i="10"/>
  <c r="I31" i="10"/>
  <c r="H13" i="10" s="1"/>
  <c r="O31" i="11"/>
  <c r="Q31" i="11"/>
  <c r="L31" i="11"/>
  <c r="I31" i="11"/>
  <c r="L30" i="1"/>
  <c r="K50" i="12"/>
  <c r="J50" i="12"/>
  <c r="I50" i="12"/>
  <c r="K49" i="12"/>
  <c r="J49" i="12"/>
  <c r="I49" i="12"/>
  <c r="K48" i="12"/>
  <c r="J48" i="12"/>
  <c r="I48" i="12"/>
  <c r="K47" i="12"/>
  <c r="J47" i="12"/>
  <c r="I47" i="12"/>
  <c r="K46" i="12"/>
  <c r="J46" i="12"/>
  <c r="I46" i="12"/>
  <c r="Q26" i="14"/>
  <c r="I26" i="14"/>
  <c r="L26" i="14"/>
  <c r="O26" i="14"/>
  <c r="Q26" i="15"/>
  <c r="O25" i="15"/>
  <c r="L26" i="15"/>
  <c r="I26" i="15"/>
  <c r="N16" i="15"/>
  <c r="O30" i="2"/>
  <c r="Q30" i="2"/>
  <c r="L30" i="2"/>
  <c r="I30" i="2"/>
  <c r="H12" i="2" s="1"/>
  <c r="O30" i="6"/>
  <c r="Q30" i="6"/>
  <c r="L30" i="6"/>
  <c r="I30" i="6"/>
  <c r="Q30" i="1"/>
  <c r="O30" i="1"/>
  <c r="I30" i="1"/>
  <c r="O30" i="4"/>
  <c r="Q30" i="4"/>
  <c r="L30" i="4"/>
  <c r="I30" i="4"/>
  <c r="O30" i="7"/>
  <c r="Q30" i="7"/>
  <c r="L30" i="7"/>
  <c r="I30" i="7"/>
  <c r="L30" i="9"/>
  <c r="L30" i="11"/>
  <c r="O30" i="9"/>
  <c r="I30" i="9"/>
  <c r="Q30" i="9"/>
  <c r="O30" i="10"/>
  <c r="Q30" i="10"/>
  <c r="L30" i="10"/>
  <c r="I30" i="10"/>
  <c r="Q30" i="11"/>
  <c r="O30" i="11"/>
  <c r="I30" i="11"/>
  <c r="K59" i="12"/>
  <c r="J59" i="12"/>
  <c r="I59" i="12"/>
  <c r="K58" i="12"/>
  <c r="J58" i="12"/>
  <c r="I58" i="12"/>
  <c r="K57" i="12"/>
  <c r="J57" i="12"/>
  <c r="I57" i="12"/>
  <c r="K56" i="12"/>
  <c r="J56" i="12"/>
  <c r="I56" i="12"/>
  <c r="K55" i="12"/>
  <c r="J55" i="12"/>
  <c r="I55" i="12"/>
  <c r="K68" i="12"/>
  <c r="J68" i="12"/>
  <c r="I68" i="12"/>
  <c r="K67" i="12"/>
  <c r="J67" i="12"/>
  <c r="I67" i="12"/>
  <c r="K66" i="12"/>
  <c r="J66" i="12"/>
  <c r="I66" i="12"/>
  <c r="K65" i="12"/>
  <c r="J65" i="12"/>
  <c r="I65" i="12"/>
  <c r="K64" i="12"/>
  <c r="J64" i="12"/>
  <c r="I64" i="12"/>
  <c r="Q25" i="15"/>
  <c r="O26" i="15"/>
  <c r="L25" i="15"/>
  <c r="I25" i="15"/>
  <c r="Q24" i="15"/>
  <c r="Q23" i="15"/>
  <c r="Q22" i="15"/>
  <c r="Q21" i="15"/>
  <c r="Q20" i="15"/>
  <c r="Q19" i="15"/>
  <c r="Q18" i="15"/>
  <c r="G18" i="15"/>
  <c r="G19" i="15" s="1"/>
  <c r="G20" i="15" s="1"/>
  <c r="Q17" i="15"/>
  <c r="Q25" i="14"/>
  <c r="O25" i="14"/>
  <c r="L25" i="14"/>
  <c r="I25" i="14"/>
  <c r="Q24" i="14"/>
  <c r="O24" i="14"/>
  <c r="L24" i="14"/>
  <c r="I24" i="14"/>
  <c r="Q23" i="14"/>
  <c r="L23" i="14"/>
  <c r="I23" i="14"/>
  <c r="Q22" i="14"/>
  <c r="Q21" i="14"/>
  <c r="Q20" i="14"/>
  <c r="Q19" i="14"/>
  <c r="Q18" i="14"/>
  <c r="G18" i="14"/>
  <c r="G19" i="14" s="1"/>
  <c r="G20" i="14" s="1"/>
  <c r="Q17" i="14"/>
  <c r="K16" i="14"/>
  <c r="N22" i="13"/>
  <c r="K22" i="13"/>
  <c r="H22" i="13"/>
  <c r="Q20" i="13"/>
  <c r="O20" i="13"/>
  <c r="L20" i="13"/>
  <c r="I20" i="13"/>
  <c r="Q19" i="13"/>
  <c r="O19" i="13"/>
  <c r="L19" i="13"/>
  <c r="D24" i="13" s="1"/>
  <c r="I19" i="13"/>
  <c r="K5" i="13" s="1"/>
  <c r="Q18" i="13"/>
  <c r="Q17" i="13"/>
  <c r="Q16" i="13"/>
  <c r="Q15" i="13"/>
  <c r="Q14" i="13"/>
  <c r="G14" i="13"/>
  <c r="G15" i="13" s="1"/>
  <c r="G16" i="13" s="1"/>
  <c r="Q13" i="13"/>
  <c r="H6" i="13"/>
  <c r="E7" i="13"/>
  <c r="H12" i="13" s="1"/>
  <c r="O29" i="6"/>
  <c r="L29" i="6"/>
  <c r="I29" i="6"/>
  <c r="O28" i="6"/>
  <c r="L28" i="6"/>
  <c r="I28" i="6"/>
  <c r="Q28" i="6"/>
  <c r="Q29" i="6"/>
  <c r="O29" i="4"/>
  <c r="L29" i="4"/>
  <c r="I29" i="4"/>
  <c r="L28" i="4"/>
  <c r="I28" i="4"/>
  <c r="Q28" i="4"/>
  <c r="K10" i="4" s="1"/>
  <c r="Q29" i="4"/>
  <c r="O28" i="4"/>
  <c r="O29" i="7"/>
  <c r="Q29" i="7"/>
  <c r="L29" i="7"/>
  <c r="I29" i="7"/>
  <c r="O28" i="7"/>
  <c r="Q28" i="7"/>
  <c r="L28" i="7"/>
  <c r="I28" i="7"/>
  <c r="O29" i="10"/>
  <c r="Q29" i="10"/>
  <c r="L29" i="10"/>
  <c r="I29" i="10"/>
  <c r="O28" i="10"/>
  <c r="Q28" i="10"/>
  <c r="L28" i="10"/>
  <c r="I28" i="10"/>
  <c r="O29" i="1"/>
  <c r="Q29" i="1"/>
  <c r="L29" i="1"/>
  <c r="I29" i="1"/>
  <c r="O28" i="1"/>
  <c r="Q28" i="1"/>
  <c r="L28" i="1"/>
  <c r="I28" i="1"/>
  <c r="O29" i="9"/>
  <c r="Q29" i="9"/>
  <c r="L29" i="9"/>
  <c r="I29" i="9"/>
  <c r="O28" i="9"/>
  <c r="Q28" i="9"/>
  <c r="L28" i="9"/>
  <c r="I28" i="9"/>
  <c r="O29" i="2"/>
  <c r="Q29" i="2"/>
  <c r="L29" i="2"/>
  <c r="I29" i="2"/>
  <c r="O28" i="2"/>
  <c r="Q28" i="2"/>
  <c r="L28" i="2"/>
  <c r="I28" i="2"/>
  <c r="O29" i="11"/>
  <c r="Q29" i="11"/>
  <c r="L29" i="11"/>
  <c r="I29" i="11"/>
  <c r="O28" i="11"/>
  <c r="Q28" i="11"/>
  <c r="L28" i="11"/>
  <c r="I28" i="11"/>
  <c r="D30" i="14" l="1"/>
  <c r="D29" i="14"/>
  <c r="D28" i="14"/>
  <c r="D20" i="14"/>
  <c r="D19" i="14"/>
  <c r="D18" i="14"/>
  <c r="D23" i="14"/>
  <c r="D24" i="14"/>
  <c r="D25" i="14"/>
  <c r="D30" i="15"/>
  <c r="D29" i="15"/>
  <c r="D28" i="15"/>
  <c r="D20" i="15"/>
  <c r="D19" i="15"/>
  <c r="D18" i="15"/>
  <c r="E9" i="15"/>
  <c r="J7" i="12" s="1"/>
  <c r="D23" i="15"/>
  <c r="D25" i="15"/>
  <c r="D24" i="15"/>
  <c r="H8" i="14"/>
  <c r="N8" i="15"/>
  <c r="H8" i="15"/>
  <c r="N12" i="6"/>
  <c r="K10" i="6"/>
  <c r="H12" i="6"/>
  <c r="H12" i="1"/>
  <c r="K12" i="4"/>
  <c r="K13" i="10"/>
  <c r="H13" i="11"/>
  <c r="N13" i="11"/>
  <c r="K13" i="11"/>
  <c r="N12" i="11"/>
  <c r="K8" i="14"/>
  <c r="K7" i="14"/>
  <c r="H7" i="14"/>
  <c r="N8" i="14"/>
  <c r="N7" i="14"/>
  <c r="K8" i="15"/>
  <c r="K11" i="2"/>
  <c r="N12" i="2"/>
  <c r="N10" i="2"/>
  <c r="K12" i="2"/>
  <c r="K12" i="6"/>
  <c r="N10" i="6"/>
  <c r="K12" i="1"/>
  <c r="H10" i="1"/>
  <c r="N12" i="1"/>
  <c r="K11" i="1"/>
  <c r="N12" i="4"/>
  <c r="H11" i="4"/>
  <c r="H12" i="4"/>
  <c r="H12" i="7"/>
  <c r="K10" i="7"/>
  <c r="H11" i="7"/>
  <c r="N10" i="7"/>
  <c r="N12" i="7"/>
  <c r="K12" i="7"/>
  <c r="H12" i="9"/>
  <c r="K10" i="9"/>
  <c r="K12" i="9"/>
  <c r="K11" i="9"/>
  <c r="N10" i="9"/>
  <c r="N12" i="9"/>
  <c r="Q12" i="9" s="1"/>
  <c r="K35" i="12"/>
  <c r="N12" i="10"/>
  <c r="N13" i="10"/>
  <c r="K11" i="10"/>
  <c r="H12" i="10"/>
  <c r="K11" i="11"/>
  <c r="K12" i="11"/>
  <c r="H12" i="11"/>
  <c r="K10" i="11"/>
  <c r="N11" i="11"/>
  <c r="H11" i="10"/>
  <c r="K12" i="10"/>
  <c r="N11" i="10"/>
  <c r="H16" i="14"/>
  <c r="Q16" i="14" s="1"/>
  <c r="E8" i="14"/>
  <c r="I12" i="12" s="1"/>
  <c r="K7" i="15"/>
  <c r="K12" i="15" s="1"/>
  <c r="N11" i="6"/>
  <c r="N11" i="1"/>
  <c r="K10" i="1"/>
  <c r="N11" i="4"/>
  <c r="N10" i="4"/>
  <c r="H10" i="10"/>
  <c r="K10" i="10"/>
  <c r="H10" i="11"/>
  <c r="N10" i="11"/>
  <c r="K10" i="2"/>
  <c r="H10" i="2"/>
  <c r="H10" i="9"/>
  <c r="N10" i="1"/>
  <c r="N10" i="10"/>
  <c r="H10" i="7"/>
  <c r="H10" i="6"/>
  <c r="H12" i="12"/>
  <c r="H11" i="2"/>
  <c r="N11" i="2"/>
  <c r="H11" i="1"/>
  <c r="K11" i="6"/>
  <c r="H11" i="11"/>
  <c r="N11" i="9"/>
  <c r="N11" i="7"/>
  <c r="H10" i="4"/>
  <c r="H7" i="15"/>
  <c r="H12" i="15" s="1"/>
  <c r="H7" i="12"/>
  <c r="K53" i="12"/>
  <c r="K62" i="12"/>
  <c r="N7" i="15"/>
  <c r="N12" i="15" s="1"/>
  <c r="E8" i="15"/>
  <c r="I7" i="12" s="1"/>
  <c r="K16" i="15"/>
  <c r="H16" i="15"/>
  <c r="H6" i="14"/>
  <c r="H5" i="14"/>
  <c r="K5" i="14"/>
  <c r="K6" i="14"/>
  <c r="N5" i="14"/>
  <c r="N6" i="14"/>
  <c r="H5" i="13"/>
  <c r="K6" i="13"/>
  <c r="K8" i="13" s="1"/>
  <c r="Q22" i="13"/>
  <c r="E9" i="13" s="1"/>
  <c r="D30" i="13"/>
  <c r="D20" i="13"/>
  <c r="D23" i="13"/>
  <c r="D25" i="13"/>
  <c r="N5" i="13"/>
  <c r="Q5" i="13" s="1"/>
  <c r="N12" i="13"/>
  <c r="D18" i="13"/>
  <c r="D19" i="13"/>
  <c r="D29" i="13"/>
  <c r="N6" i="13"/>
  <c r="K12" i="13"/>
  <c r="Q12" i="13" s="1"/>
  <c r="E8" i="13"/>
  <c r="D28" i="13"/>
  <c r="H11" i="6"/>
  <c r="K11" i="4"/>
  <c r="K11" i="7"/>
  <c r="H11" i="9"/>
  <c r="Q8" i="15" l="1"/>
  <c r="Q12" i="2"/>
  <c r="Q10" i="6"/>
  <c r="Q10" i="4"/>
  <c r="Q13" i="10"/>
  <c r="Q13" i="11"/>
  <c r="E9" i="14"/>
  <c r="J12" i="12" s="1"/>
  <c r="K12" i="12" s="1"/>
  <c r="Q8" i="14"/>
  <c r="Q12" i="6"/>
  <c r="Q12" i="1"/>
  <c r="Q11" i="4"/>
  <c r="Q12" i="7"/>
  <c r="Q12" i="11"/>
  <c r="Q7" i="14"/>
  <c r="Q10" i="2"/>
  <c r="Q11" i="1"/>
  <c r="Q10" i="1"/>
  <c r="Q12" i="4"/>
  <c r="Q10" i="7"/>
  <c r="Q10" i="9"/>
  <c r="Q11" i="10"/>
  <c r="Q12" i="10"/>
  <c r="Q10" i="11"/>
  <c r="Q11" i="11"/>
  <c r="K7" i="12"/>
  <c r="Q10" i="10"/>
  <c r="Q11" i="6"/>
  <c r="Q16" i="15"/>
  <c r="E10" i="13"/>
  <c r="Q11" i="2"/>
  <c r="Q7" i="15"/>
  <c r="E10" i="15"/>
  <c r="D17" i="15"/>
  <c r="E18" i="15" s="1"/>
  <c r="D22" i="15"/>
  <c r="E25" i="15" s="1"/>
  <c r="D14" i="15"/>
  <c r="D15" i="15"/>
  <c r="N7" i="12" s="1"/>
  <c r="D13" i="15"/>
  <c r="L7" i="12" s="1"/>
  <c r="D27" i="15"/>
  <c r="E30" i="15" s="1"/>
  <c r="D14" i="14"/>
  <c r="H12" i="14"/>
  <c r="Q6" i="14"/>
  <c r="Q5" i="14"/>
  <c r="N12" i="14"/>
  <c r="D27" i="14"/>
  <c r="E30" i="14" s="1"/>
  <c r="D22" i="14"/>
  <c r="E25" i="14" s="1"/>
  <c r="K12" i="14"/>
  <c r="D13" i="14"/>
  <c r="L12" i="12" s="1"/>
  <c r="D15" i="14"/>
  <c r="D17" i="14"/>
  <c r="E20" i="14" s="1"/>
  <c r="Q6" i="13"/>
  <c r="N8" i="13"/>
  <c r="D22" i="13"/>
  <c r="E24" i="13" s="1"/>
  <c r="H8" i="13"/>
  <c r="D15" i="13"/>
  <c r="D27" i="13"/>
  <c r="E30" i="13" s="1"/>
  <c r="D14" i="13"/>
  <c r="D17" i="13"/>
  <c r="E18" i="13" s="1"/>
  <c r="D13" i="13"/>
  <c r="Q11" i="7"/>
  <c r="Q11" i="9"/>
  <c r="E10" i="14" l="1"/>
  <c r="E20" i="15"/>
  <c r="E19" i="15"/>
  <c r="E24" i="15"/>
  <c r="E23" i="15"/>
  <c r="E28" i="15"/>
  <c r="E29" i="15"/>
  <c r="D12" i="15"/>
  <c r="E13" i="15" s="1"/>
  <c r="E24" i="14"/>
  <c r="E23" i="14"/>
  <c r="E28" i="14"/>
  <c r="E19" i="14"/>
  <c r="E18" i="14"/>
  <c r="D12" i="14"/>
  <c r="E14" i="14" s="1"/>
  <c r="M12" i="12" s="1"/>
  <c r="E29" i="14"/>
  <c r="Q8" i="13"/>
  <c r="E19" i="13"/>
  <c r="E20" i="13"/>
  <c r="E25" i="13"/>
  <c r="E29" i="13"/>
  <c r="E23" i="13"/>
  <c r="D12" i="13"/>
  <c r="E14" i="13" s="1"/>
  <c r="E28" i="13"/>
  <c r="E15" i="15" l="1"/>
  <c r="E14" i="15"/>
  <c r="M7" i="12" s="1"/>
  <c r="E15" i="14"/>
  <c r="N12" i="12" s="1"/>
  <c r="E13" i="14"/>
  <c r="E15" i="13"/>
  <c r="E13" i="13"/>
  <c r="K87" i="12" l="1"/>
  <c r="J87" i="12"/>
  <c r="I87" i="12"/>
  <c r="K86" i="12"/>
  <c r="J86" i="12"/>
  <c r="I86" i="12"/>
  <c r="K85" i="12"/>
  <c r="J85" i="12"/>
  <c r="I85" i="12"/>
  <c r="K84" i="12"/>
  <c r="J84" i="12"/>
  <c r="I84" i="12"/>
  <c r="K83" i="12"/>
  <c r="J83" i="12"/>
  <c r="I83" i="12"/>
  <c r="K96" i="12"/>
  <c r="J96" i="12"/>
  <c r="I96" i="12"/>
  <c r="K95" i="12"/>
  <c r="J95" i="12"/>
  <c r="I95" i="12"/>
  <c r="K94" i="12"/>
  <c r="J94" i="12"/>
  <c r="I94" i="12"/>
  <c r="K93" i="12"/>
  <c r="J93" i="12"/>
  <c r="I93" i="12"/>
  <c r="J92" i="12"/>
  <c r="I92" i="12"/>
  <c r="K78" i="12"/>
  <c r="J78" i="12"/>
  <c r="I78" i="12"/>
  <c r="K77" i="12"/>
  <c r="J77" i="12"/>
  <c r="I77" i="12"/>
  <c r="K76" i="12"/>
  <c r="J76" i="12"/>
  <c r="I76" i="12"/>
  <c r="K75" i="12"/>
  <c r="J75" i="12"/>
  <c r="I75" i="12"/>
  <c r="K74" i="12"/>
  <c r="J74" i="12"/>
  <c r="I74" i="12"/>
  <c r="Q26" i="2"/>
  <c r="O26" i="2"/>
  <c r="L26" i="2"/>
  <c r="I26" i="2"/>
  <c r="Q26" i="6"/>
  <c r="O26" i="6"/>
  <c r="L26" i="6"/>
  <c r="I26" i="6"/>
  <c r="Q26" i="1"/>
  <c r="O26" i="1"/>
  <c r="L26" i="1"/>
  <c r="I26" i="1"/>
  <c r="Q26" i="4"/>
  <c r="O26" i="4"/>
  <c r="L26" i="4"/>
  <c r="I26" i="4"/>
  <c r="Q26" i="7"/>
  <c r="O26" i="7"/>
  <c r="L26" i="7"/>
  <c r="I26" i="7"/>
  <c r="L27" i="11"/>
  <c r="Q26" i="9"/>
  <c r="O26" i="9"/>
  <c r="L26" i="9"/>
  <c r="H8" i="9" s="1"/>
  <c r="I26" i="9"/>
  <c r="O27" i="10"/>
  <c r="Q27" i="10"/>
  <c r="L27" i="10"/>
  <c r="I27" i="10"/>
  <c r="Q27" i="11"/>
  <c r="O27" i="11"/>
  <c r="I27" i="11"/>
  <c r="H8" i="7" l="1"/>
  <c r="H9" i="10"/>
  <c r="N9" i="10"/>
  <c r="N8" i="7"/>
  <c r="K8" i="4"/>
  <c r="N8" i="4"/>
  <c r="N8" i="1"/>
  <c r="N8" i="6"/>
  <c r="N8" i="9"/>
  <c r="N8" i="2"/>
  <c r="K8" i="7"/>
  <c r="K8" i="9"/>
  <c r="K9" i="10"/>
  <c r="H8" i="2"/>
  <c r="K8" i="2"/>
  <c r="H8" i="6"/>
  <c r="K8" i="6"/>
  <c r="H8" i="1"/>
  <c r="K8" i="1"/>
  <c r="H8" i="4"/>
  <c r="K9" i="11"/>
  <c r="K104" i="12"/>
  <c r="K103" i="12"/>
  <c r="K102" i="12"/>
  <c r="K101" i="12"/>
  <c r="J105" i="12"/>
  <c r="J104" i="12"/>
  <c r="J103" i="12"/>
  <c r="J102" i="12"/>
  <c r="J101" i="12"/>
  <c r="I105" i="12"/>
  <c r="I104" i="12"/>
  <c r="I103" i="12"/>
  <c r="I101" i="12"/>
  <c r="I102" i="12"/>
  <c r="K113" i="12"/>
  <c r="K112" i="12"/>
  <c r="K111" i="12"/>
  <c r="K110" i="12"/>
  <c r="J113" i="12"/>
  <c r="J112" i="12"/>
  <c r="J111" i="12"/>
  <c r="J110" i="12"/>
  <c r="I113" i="12"/>
  <c r="I112" i="12"/>
  <c r="I111" i="12"/>
  <c r="I110" i="12"/>
  <c r="K121" i="12"/>
  <c r="K119" i="12"/>
  <c r="K120" i="12"/>
  <c r="K118" i="12"/>
  <c r="J121" i="12"/>
  <c r="J120" i="12"/>
  <c r="J119" i="12"/>
  <c r="J118" i="12"/>
  <c r="I121" i="12"/>
  <c r="I120" i="12"/>
  <c r="I119" i="12"/>
  <c r="I118" i="12"/>
  <c r="K128" i="12"/>
  <c r="J128" i="12"/>
  <c r="I128" i="12"/>
  <c r="K127" i="12"/>
  <c r="J127" i="12"/>
  <c r="I127" i="12"/>
  <c r="K126" i="12"/>
  <c r="J126" i="12"/>
  <c r="I126" i="12"/>
  <c r="K81" i="12"/>
  <c r="K90" i="12"/>
  <c r="K105" i="12"/>
  <c r="H10" i="12"/>
  <c r="Q26" i="11"/>
  <c r="H9" i="11" s="1"/>
  <c r="O26" i="11"/>
  <c r="L26" i="11"/>
  <c r="I26" i="11"/>
  <c r="Q25" i="11"/>
  <c r="O25" i="11"/>
  <c r="L25" i="11"/>
  <c r="I25" i="11"/>
  <c r="Q24" i="11"/>
  <c r="O24" i="11"/>
  <c r="L24" i="11"/>
  <c r="I24" i="11"/>
  <c r="Q23" i="11"/>
  <c r="O23" i="11"/>
  <c r="L23" i="11"/>
  <c r="I23" i="11"/>
  <c r="Q22" i="11"/>
  <c r="O22" i="11"/>
  <c r="L22" i="11"/>
  <c r="I22" i="11"/>
  <c r="G22" i="11"/>
  <c r="G23" i="11" s="1"/>
  <c r="G24" i="11" s="1"/>
  <c r="Q21" i="11"/>
  <c r="N20" i="11"/>
  <c r="H20" i="11"/>
  <c r="Q26" i="10"/>
  <c r="O26" i="10"/>
  <c r="L26" i="10"/>
  <c r="I26" i="10"/>
  <c r="Q25" i="10"/>
  <c r="O25" i="10"/>
  <c r="L25" i="10"/>
  <c r="I25" i="10"/>
  <c r="Q24" i="10"/>
  <c r="O24" i="10"/>
  <c r="L24" i="10"/>
  <c r="I24" i="10"/>
  <c r="Q23" i="10"/>
  <c r="O23" i="10"/>
  <c r="L23" i="10"/>
  <c r="I23" i="10"/>
  <c r="Q22" i="10"/>
  <c r="O22" i="10"/>
  <c r="L22" i="10"/>
  <c r="I22" i="10"/>
  <c r="G22" i="10"/>
  <c r="G23" i="10" s="1"/>
  <c r="G24" i="10" s="1"/>
  <c r="Q21" i="10"/>
  <c r="O21" i="10"/>
  <c r="L21" i="10"/>
  <c r="I21" i="10"/>
  <c r="H20" i="10"/>
  <c r="N20" i="10"/>
  <c r="Q27" i="9"/>
  <c r="O27" i="9"/>
  <c r="L27" i="9"/>
  <c r="I27" i="9"/>
  <c r="Q25" i="9"/>
  <c r="O25" i="9"/>
  <c r="L25" i="9"/>
  <c r="I25" i="9"/>
  <c r="Q24" i="9"/>
  <c r="O24" i="9"/>
  <c r="L24" i="9"/>
  <c r="I24" i="9"/>
  <c r="Q23" i="9"/>
  <c r="O23" i="9"/>
  <c r="L23" i="9"/>
  <c r="I23" i="9"/>
  <c r="Q22" i="9"/>
  <c r="O22" i="9"/>
  <c r="L22" i="9"/>
  <c r="I22" i="9"/>
  <c r="G22" i="9"/>
  <c r="G23" i="9" s="1"/>
  <c r="G24" i="9" s="1"/>
  <c r="Q21" i="9"/>
  <c r="K20" i="9"/>
  <c r="N20" i="8"/>
  <c r="K20" i="8"/>
  <c r="H20" i="8"/>
  <c r="Q18" i="8"/>
  <c r="O18" i="8"/>
  <c r="L18" i="8"/>
  <c r="I18" i="8"/>
  <c r="N8" i="8" s="1"/>
  <c r="Q17" i="8"/>
  <c r="O17" i="8"/>
  <c r="L17" i="8"/>
  <c r="I17" i="8"/>
  <c r="Q16" i="8"/>
  <c r="O16" i="8"/>
  <c r="L16" i="8"/>
  <c r="I16" i="8"/>
  <c r="G16" i="8"/>
  <c r="G17" i="8" s="1"/>
  <c r="G18" i="8" s="1"/>
  <c r="Q15" i="8"/>
  <c r="O15" i="8"/>
  <c r="D30" i="8" s="1"/>
  <c r="L15" i="8"/>
  <c r="D25" i="8" s="1"/>
  <c r="I15" i="8"/>
  <c r="H5" i="8" s="1"/>
  <c r="N14" i="8"/>
  <c r="Q27" i="7"/>
  <c r="O27" i="7"/>
  <c r="L27" i="7"/>
  <c r="I27" i="7"/>
  <c r="Q25" i="7"/>
  <c r="O25" i="7"/>
  <c r="L25" i="7"/>
  <c r="I25" i="7"/>
  <c r="Q24" i="7"/>
  <c r="O24" i="7"/>
  <c r="L24" i="7"/>
  <c r="I24" i="7"/>
  <c r="Q23" i="7"/>
  <c r="Q22" i="7"/>
  <c r="O22" i="7"/>
  <c r="L22" i="7"/>
  <c r="I22" i="7"/>
  <c r="G22" i="7"/>
  <c r="G23" i="7" s="1"/>
  <c r="G24" i="7" s="1"/>
  <c r="Q21" i="7"/>
  <c r="O21" i="7"/>
  <c r="L21" i="7"/>
  <c r="I21" i="7"/>
  <c r="N20" i="7"/>
  <c r="Q27" i="6"/>
  <c r="O27" i="6"/>
  <c r="L27" i="6"/>
  <c r="I27" i="6"/>
  <c r="Q25" i="6"/>
  <c r="O25" i="6"/>
  <c r="L25" i="6"/>
  <c r="I25" i="6"/>
  <c r="Q24" i="6"/>
  <c r="O24" i="6"/>
  <c r="L24" i="6"/>
  <c r="I24" i="6"/>
  <c r="Q23" i="6"/>
  <c r="O23" i="6"/>
  <c r="L23" i="6"/>
  <c r="I23" i="6"/>
  <c r="Q22" i="6"/>
  <c r="O22" i="6"/>
  <c r="L22" i="6"/>
  <c r="I22" i="6"/>
  <c r="G22" i="6"/>
  <c r="G23" i="6" s="1"/>
  <c r="G24" i="6" s="1"/>
  <c r="Q21" i="6"/>
  <c r="O21" i="6"/>
  <c r="L21" i="6"/>
  <c r="I21" i="6"/>
  <c r="K20" i="6"/>
  <c r="G22" i="4"/>
  <c r="G23" i="4" s="1"/>
  <c r="G24" i="4" s="1"/>
  <c r="Q27" i="4"/>
  <c r="O27" i="4"/>
  <c r="L27" i="4"/>
  <c r="I27" i="4"/>
  <c r="Q25" i="4"/>
  <c r="O25" i="4"/>
  <c r="L25" i="4"/>
  <c r="I25" i="4"/>
  <c r="Q24" i="4"/>
  <c r="O24" i="4"/>
  <c r="L24" i="4"/>
  <c r="I24" i="4"/>
  <c r="Q23" i="4"/>
  <c r="O23" i="4"/>
  <c r="L23" i="4"/>
  <c r="I23" i="4"/>
  <c r="Q22" i="4"/>
  <c r="Q21" i="4"/>
  <c r="N20" i="4"/>
  <c r="Q27" i="1"/>
  <c r="O27" i="1"/>
  <c r="L27" i="1"/>
  <c r="I27" i="1"/>
  <c r="Q25" i="1"/>
  <c r="O25" i="1"/>
  <c r="L25" i="1"/>
  <c r="I25" i="1"/>
  <c r="Q24" i="1"/>
  <c r="O24" i="1"/>
  <c r="L24" i="1"/>
  <c r="I24" i="1"/>
  <c r="Q23" i="1"/>
  <c r="O23" i="1"/>
  <c r="L23" i="1"/>
  <c r="I23" i="1"/>
  <c r="Q22" i="1"/>
  <c r="O22" i="1"/>
  <c r="L22" i="1"/>
  <c r="I22" i="1"/>
  <c r="G22" i="1"/>
  <c r="G23" i="1" s="1"/>
  <c r="G24" i="1" s="1"/>
  <c r="Q21" i="1"/>
  <c r="O21" i="1"/>
  <c r="L21" i="1"/>
  <c r="I21" i="1"/>
  <c r="K20" i="1"/>
  <c r="L25" i="2"/>
  <c r="L21" i="2"/>
  <c r="L22" i="2"/>
  <c r="L23" i="2"/>
  <c r="L24" i="2"/>
  <c r="I21" i="2"/>
  <c r="I22" i="2"/>
  <c r="I23" i="2"/>
  <c r="I24" i="2"/>
  <c r="I25" i="2"/>
  <c r="O21" i="2"/>
  <c r="O22" i="2"/>
  <c r="O23" i="2"/>
  <c r="O25" i="2"/>
  <c r="O24" i="2"/>
  <c r="Q27" i="2"/>
  <c r="O27" i="2"/>
  <c r="L27" i="2"/>
  <c r="I27" i="2"/>
  <c r="Q25" i="2"/>
  <c r="Q24" i="2"/>
  <c r="Q23" i="2"/>
  <c r="Q22" i="2"/>
  <c r="G22" i="2"/>
  <c r="G23" i="2" s="1"/>
  <c r="G24" i="2" s="1"/>
  <c r="Q21" i="2"/>
  <c r="N20" i="2"/>
  <c r="E7" i="2" l="1"/>
  <c r="D23" i="6"/>
  <c r="D22" i="6"/>
  <c r="D21" i="6"/>
  <c r="D28" i="6"/>
  <c r="D27" i="6"/>
  <c r="D26" i="6"/>
  <c r="E7" i="6"/>
  <c r="J6" i="12" s="1"/>
  <c r="D18" i="6"/>
  <c r="D17" i="6"/>
  <c r="D16" i="6"/>
  <c r="E7" i="1"/>
  <c r="D19" i="7"/>
  <c r="D18" i="7"/>
  <c r="D17" i="7"/>
  <c r="D24" i="7"/>
  <c r="D23" i="7"/>
  <c r="D22" i="7"/>
  <c r="D27" i="7"/>
  <c r="D29" i="7"/>
  <c r="D28" i="7"/>
  <c r="D18" i="9"/>
  <c r="D19" i="9"/>
  <c r="D24" i="9"/>
  <c r="D23" i="9"/>
  <c r="D22" i="9"/>
  <c r="D27" i="9"/>
  <c r="D29" i="9"/>
  <c r="D28" i="9"/>
  <c r="D26" i="10"/>
  <c r="D27" i="10"/>
  <c r="D28" i="10"/>
  <c r="D23" i="10"/>
  <c r="D22" i="10"/>
  <c r="D21" i="10"/>
  <c r="D18" i="10"/>
  <c r="D17" i="10"/>
  <c r="Q34" i="11"/>
  <c r="E8" i="11" s="1"/>
  <c r="J10" i="12" s="1"/>
  <c r="D17" i="11"/>
  <c r="D19" i="11"/>
  <c r="D18" i="11"/>
  <c r="D24" i="11"/>
  <c r="D23" i="11"/>
  <c r="D22" i="11"/>
  <c r="D30" i="11"/>
  <c r="D29" i="11"/>
  <c r="D28" i="11"/>
  <c r="Q8" i="9"/>
  <c r="Q9" i="10"/>
  <c r="Q8" i="7"/>
  <c r="K7" i="8"/>
  <c r="Q8" i="4"/>
  <c r="N6" i="9"/>
  <c r="H3" i="12"/>
  <c r="H6" i="8"/>
  <c r="H3" i="2"/>
  <c r="Q8" i="2"/>
  <c r="Q8" i="6"/>
  <c r="Q8" i="1"/>
  <c r="K3" i="1"/>
  <c r="H5" i="1"/>
  <c r="H7" i="7"/>
  <c r="N4" i="10"/>
  <c r="N9" i="11"/>
  <c r="Q9" i="11" s="1"/>
  <c r="K5" i="11"/>
  <c r="K6" i="11"/>
  <c r="N8" i="11"/>
  <c r="N6" i="2"/>
  <c r="H4" i="2"/>
  <c r="H5" i="12"/>
  <c r="K9" i="2"/>
  <c r="H9" i="2"/>
  <c r="N6" i="6"/>
  <c r="H3" i="6"/>
  <c r="K5" i="6"/>
  <c r="K7" i="6"/>
  <c r="H9" i="6"/>
  <c r="H4" i="6"/>
  <c r="N4" i="6"/>
  <c r="N7" i="6"/>
  <c r="H6" i="12"/>
  <c r="H8" i="12"/>
  <c r="E6" i="1"/>
  <c r="I8" i="12" s="1"/>
  <c r="K4" i="1"/>
  <c r="N20" i="1"/>
  <c r="H6" i="1"/>
  <c r="N7" i="1"/>
  <c r="K9" i="1"/>
  <c r="K5" i="1"/>
  <c r="K7" i="1"/>
  <c r="K5" i="4"/>
  <c r="H13" i="12"/>
  <c r="N9" i="4"/>
  <c r="H9" i="7"/>
  <c r="N9" i="7"/>
  <c r="K9" i="7"/>
  <c r="K7" i="7"/>
  <c r="N5" i="7"/>
  <c r="H9" i="12"/>
  <c r="N9" i="9"/>
  <c r="H11" i="12"/>
  <c r="K6" i="10"/>
  <c r="H7" i="10"/>
  <c r="N3" i="10"/>
  <c r="N7" i="10"/>
  <c r="N8" i="10"/>
  <c r="H4" i="12"/>
  <c r="K5" i="10"/>
  <c r="N4" i="11"/>
  <c r="K20" i="11"/>
  <c r="H7" i="11"/>
  <c r="N5" i="11"/>
  <c r="K72" i="12"/>
  <c r="K99" i="12"/>
  <c r="K108" i="12"/>
  <c r="K116" i="12"/>
  <c r="K124" i="12"/>
  <c r="K7" i="11"/>
  <c r="H6" i="11"/>
  <c r="N6" i="11"/>
  <c r="H8" i="11"/>
  <c r="H4" i="11"/>
  <c r="H5" i="11"/>
  <c r="N7" i="11"/>
  <c r="K8" i="11"/>
  <c r="K4" i="11"/>
  <c r="I10" i="12"/>
  <c r="H6" i="10"/>
  <c r="N5" i="10"/>
  <c r="H3" i="10"/>
  <c r="H4" i="10"/>
  <c r="N6" i="10"/>
  <c r="K7" i="10"/>
  <c r="H8" i="10"/>
  <c r="K20" i="10"/>
  <c r="K3" i="10"/>
  <c r="K4" i="10"/>
  <c r="H5" i="10"/>
  <c r="I4" i="12"/>
  <c r="K8" i="10"/>
  <c r="N7" i="9"/>
  <c r="K5" i="9"/>
  <c r="K7" i="9"/>
  <c r="H4" i="9"/>
  <c r="H9" i="9"/>
  <c r="E8" i="9"/>
  <c r="J11" i="12" s="1"/>
  <c r="H6" i="9"/>
  <c r="N4" i="9"/>
  <c r="N5" i="9"/>
  <c r="K6" i="9"/>
  <c r="H7" i="9"/>
  <c r="H20" i="9"/>
  <c r="K4" i="9"/>
  <c r="H5" i="9"/>
  <c r="E7" i="9"/>
  <c r="I11" i="12" s="1"/>
  <c r="K9" i="9"/>
  <c r="N20" i="9"/>
  <c r="H8" i="8"/>
  <c r="E9" i="8"/>
  <c r="D19" i="8"/>
  <c r="D18" i="8"/>
  <c r="N6" i="8"/>
  <c r="D24" i="8"/>
  <c r="N7" i="8"/>
  <c r="K8" i="8"/>
  <c r="H14" i="8"/>
  <c r="D20" i="8"/>
  <c r="D29" i="8"/>
  <c r="K14" i="8"/>
  <c r="K5" i="8"/>
  <c r="K6" i="8"/>
  <c r="H7" i="8"/>
  <c r="E8" i="8"/>
  <c r="I3" i="12" s="1"/>
  <c r="D28" i="8"/>
  <c r="N5" i="8"/>
  <c r="D23" i="8"/>
  <c r="H6" i="7"/>
  <c r="K6" i="7"/>
  <c r="N7" i="7"/>
  <c r="H5" i="7"/>
  <c r="N6" i="7"/>
  <c r="K5" i="7"/>
  <c r="H4" i="7"/>
  <c r="K4" i="7"/>
  <c r="N4" i="7"/>
  <c r="H20" i="7"/>
  <c r="K20" i="7"/>
  <c r="E7" i="7"/>
  <c r="I9" i="12" s="1"/>
  <c r="N9" i="6"/>
  <c r="H6" i="6"/>
  <c r="N5" i="6"/>
  <c r="K6" i="6"/>
  <c r="H7" i="6"/>
  <c r="H20" i="6"/>
  <c r="K3" i="6"/>
  <c r="K4" i="6"/>
  <c r="H5" i="6"/>
  <c r="E6" i="6"/>
  <c r="I6" i="12" s="1"/>
  <c r="K9" i="6"/>
  <c r="N20" i="6"/>
  <c r="N3" i="6"/>
  <c r="N6" i="4"/>
  <c r="H9" i="4"/>
  <c r="K9" i="4"/>
  <c r="E8" i="4"/>
  <c r="I13" i="12" s="1"/>
  <c r="K7" i="4"/>
  <c r="N7" i="4"/>
  <c r="K6" i="4"/>
  <c r="H6" i="4"/>
  <c r="H5" i="4"/>
  <c r="N5" i="4"/>
  <c r="E9" i="4"/>
  <c r="H7" i="4"/>
  <c r="H20" i="4"/>
  <c r="K20" i="4"/>
  <c r="N9" i="1"/>
  <c r="N3" i="1"/>
  <c r="N4" i="1"/>
  <c r="N5" i="1"/>
  <c r="K6" i="1"/>
  <c r="H7" i="1"/>
  <c r="H20" i="1"/>
  <c r="H3" i="1"/>
  <c r="H4" i="1"/>
  <c r="N6" i="1"/>
  <c r="H9" i="1"/>
  <c r="K4" i="2"/>
  <c r="H5" i="2"/>
  <c r="K6" i="2"/>
  <c r="K7" i="2"/>
  <c r="H7" i="2"/>
  <c r="N7" i="2"/>
  <c r="N3" i="2"/>
  <c r="N4" i="2"/>
  <c r="K5" i="2"/>
  <c r="H6" i="2"/>
  <c r="N9" i="2"/>
  <c r="K20" i="2"/>
  <c r="N5" i="2"/>
  <c r="H20" i="2"/>
  <c r="K3" i="2"/>
  <c r="E6" i="2"/>
  <c r="I5" i="12" s="1"/>
  <c r="K16" i="2" l="1"/>
  <c r="H16" i="2"/>
  <c r="N16" i="2"/>
  <c r="H16" i="6"/>
  <c r="N16" i="6"/>
  <c r="K16" i="6"/>
  <c r="H16" i="7"/>
  <c r="K16" i="7"/>
  <c r="N16" i="7"/>
  <c r="D11" i="10"/>
  <c r="L4" i="12" s="1"/>
  <c r="K16" i="11"/>
  <c r="H16" i="11"/>
  <c r="N16" i="11"/>
  <c r="D12" i="11"/>
  <c r="L10" i="12" s="1"/>
  <c r="Q7" i="6"/>
  <c r="E8" i="7"/>
  <c r="E9" i="7" s="1"/>
  <c r="K16" i="10"/>
  <c r="H16" i="10"/>
  <c r="N16" i="10"/>
  <c r="Q7" i="4"/>
  <c r="Q5" i="1"/>
  <c r="K16" i="1"/>
  <c r="N16" i="9"/>
  <c r="Q20" i="10"/>
  <c r="Q20" i="11"/>
  <c r="K44" i="12"/>
  <c r="N16" i="1"/>
  <c r="E10" i="8"/>
  <c r="J3" i="12"/>
  <c r="K3" i="12" s="1"/>
  <c r="H16" i="1"/>
  <c r="N16" i="4"/>
  <c r="Q8" i="8"/>
  <c r="K16" i="9"/>
  <c r="K16" i="4"/>
  <c r="H16" i="4"/>
  <c r="H16" i="9"/>
  <c r="K10" i="12"/>
  <c r="Q4" i="2"/>
  <c r="D15" i="1"/>
  <c r="E18" i="1" s="1"/>
  <c r="Q20" i="1"/>
  <c r="D25" i="2"/>
  <c r="E27" i="2" s="1"/>
  <c r="Q9" i="2"/>
  <c r="D15" i="2"/>
  <c r="E18" i="2" s="1"/>
  <c r="D13" i="2"/>
  <c r="N5" i="12" s="1"/>
  <c r="Q20" i="2"/>
  <c r="E8" i="2"/>
  <c r="J5" i="12"/>
  <c r="K5" i="12" s="1"/>
  <c r="Q4" i="6"/>
  <c r="D15" i="6"/>
  <c r="E16" i="6" s="1"/>
  <c r="K6" i="12"/>
  <c r="D13" i="1"/>
  <c r="N8" i="12" s="1"/>
  <c r="Q7" i="1"/>
  <c r="E8" i="1"/>
  <c r="J8" i="12"/>
  <c r="K8" i="12" s="1"/>
  <c r="Q9" i="1"/>
  <c r="Q6" i="1"/>
  <c r="E10" i="4"/>
  <c r="J13" i="12"/>
  <c r="K13" i="12" s="1"/>
  <c r="E18" i="4"/>
  <c r="Q9" i="4"/>
  <c r="Q5" i="4"/>
  <c r="Q7" i="7"/>
  <c r="Q9" i="7"/>
  <c r="Q5" i="7"/>
  <c r="K11" i="12"/>
  <c r="Q7" i="10"/>
  <c r="Q6" i="10"/>
  <c r="Q7" i="11"/>
  <c r="Q5" i="11"/>
  <c r="Q8" i="11"/>
  <c r="E9" i="11"/>
  <c r="Q6" i="11"/>
  <c r="D21" i="11"/>
  <c r="E23" i="11" s="1"/>
  <c r="D27" i="11"/>
  <c r="E30" i="11" s="1"/>
  <c r="D13" i="11"/>
  <c r="Q4" i="11"/>
  <c r="E17" i="11"/>
  <c r="D14" i="11"/>
  <c r="N10" i="12" s="1"/>
  <c r="Q5" i="10"/>
  <c r="D15" i="10"/>
  <c r="E16" i="10" s="1"/>
  <c r="D12" i="10"/>
  <c r="M4" i="12" s="1"/>
  <c r="D25" i="10"/>
  <c r="E28" i="10" s="1"/>
  <c r="Q4" i="10"/>
  <c r="D20" i="10"/>
  <c r="E23" i="10" s="1"/>
  <c r="D13" i="10"/>
  <c r="N4" i="12" s="1"/>
  <c r="Q8" i="10"/>
  <c r="Q3" i="10"/>
  <c r="Q9" i="9"/>
  <c r="Q7" i="9"/>
  <c r="D16" i="9"/>
  <c r="E17" i="9" s="1"/>
  <c r="Q6" i="9"/>
  <c r="E9" i="9"/>
  <c r="Q5" i="9"/>
  <c r="D13" i="9"/>
  <c r="M11" i="12" s="1"/>
  <c r="D12" i="9"/>
  <c r="L11" i="12" s="1"/>
  <c r="Q4" i="9"/>
  <c r="D14" i="9"/>
  <c r="N11" i="12" s="1"/>
  <c r="D26" i="9"/>
  <c r="E29" i="9" s="1"/>
  <c r="D21" i="9"/>
  <c r="E24" i="9" s="1"/>
  <c r="Q20" i="9"/>
  <c r="Q14" i="8"/>
  <c r="Q7" i="8"/>
  <c r="N10" i="8"/>
  <c r="Q6" i="8"/>
  <c r="D13" i="8"/>
  <c r="L3" i="12" s="1"/>
  <c r="D27" i="8"/>
  <c r="E30" i="8" s="1"/>
  <c r="D15" i="8"/>
  <c r="N3" i="12" s="1"/>
  <c r="D17" i="8"/>
  <c r="E20" i="8" s="1"/>
  <c r="H10" i="8"/>
  <c r="K10" i="8"/>
  <c r="D22" i="8"/>
  <c r="E25" i="8" s="1"/>
  <c r="D14" i="8"/>
  <c r="M3" i="12" s="1"/>
  <c r="Q5" i="8"/>
  <c r="Q6" i="7"/>
  <c r="D12" i="7"/>
  <c r="L9" i="12" s="1"/>
  <c r="Q4" i="7"/>
  <c r="D14" i="7"/>
  <c r="N9" i="12" s="1"/>
  <c r="D16" i="7"/>
  <c r="E19" i="7" s="1"/>
  <c r="D26" i="7"/>
  <c r="E29" i="7" s="1"/>
  <c r="Q20" i="7"/>
  <c r="D21" i="7"/>
  <c r="E24" i="7" s="1"/>
  <c r="D13" i="7"/>
  <c r="M9" i="12" s="1"/>
  <c r="Q9" i="6"/>
  <c r="D12" i="6"/>
  <c r="M6" i="12" s="1"/>
  <c r="Q6" i="6"/>
  <c r="E8" i="6"/>
  <c r="Q5" i="6"/>
  <c r="D11" i="6"/>
  <c r="L6" i="12" s="1"/>
  <c r="Q3" i="6"/>
  <c r="D25" i="6"/>
  <c r="E28" i="6" s="1"/>
  <c r="D13" i="6"/>
  <c r="N6" i="12" s="1"/>
  <c r="D20" i="6"/>
  <c r="E23" i="6" s="1"/>
  <c r="Q20" i="6"/>
  <c r="Q6" i="4"/>
  <c r="D27" i="4"/>
  <c r="E30" i="4" s="1"/>
  <c r="D14" i="4"/>
  <c r="M13" i="12" s="1"/>
  <c r="D15" i="4"/>
  <c r="N13" i="12" s="1"/>
  <c r="D13" i="4"/>
  <c r="L13" i="12" s="1"/>
  <c r="D22" i="4"/>
  <c r="E25" i="4" s="1"/>
  <c r="Q20" i="4"/>
  <c r="Q4" i="1"/>
  <c r="Q3" i="1"/>
  <c r="D12" i="1"/>
  <c r="M8" i="12" s="1"/>
  <c r="D25" i="1"/>
  <c r="E28" i="1" s="1"/>
  <c r="D20" i="1"/>
  <c r="E23" i="1" s="1"/>
  <c r="D11" i="1"/>
  <c r="L8" i="12" s="1"/>
  <c r="Q6" i="2"/>
  <c r="D12" i="2"/>
  <c r="M5" i="12" s="1"/>
  <c r="Q7" i="2"/>
  <c r="Q5" i="2"/>
  <c r="D20" i="2"/>
  <c r="E23" i="2" s="1"/>
  <c r="D11" i="2"/>
  <c r="L5" i="12" s="1"/>
  <c r="Q3" i="2"/>
  <c r="J9" i="12" l="1"/>
  <c r="K9" i="12" s="1"/>
  <c r="E8" i="10"/>
  <c r="J4" i="12"/>
  <c r="K4" i="12" s="1"/>
  <c r="Q16" i="10"/>
  <c r="M10" i="12"/>
  <c r="D11" i="11"/>
  <c r="E12" i="11" s="1"/>
  <c r="E17" i="1"/>
  <c r="E16" i="1"/>
  <c r="E26" i="2"/>
  <c r="E28" i="2"/>
  <c r="E16" i="2"/>
  <c r="E22" i="11"/>
  <c r="E17" i="2"/>
  <c r="E17" i="6"/>
  <c r="E18" i="6"/>
  <c r="E21" i="1"/>
  <c r="E26" i="1"/>
  <c r="E27" i="1"/>
  <c r="E20" i="4"/>
  <c r="E19" i="4"/>
  <c r="E18" i="9"/>
  <c r="E27" i="9"/>
  <c r="E18" i="10"/>
  <c r="E24" i="11"/>
  <c r="E28" i="11"/>
  <c r="E19" i="11"/>
  <c r="E18" i="11"/>
  <c r="E29" i="11"/>
  <c r="E27" i="10"/>
  <c r="E26" i="10"/>
  <c r="D10" i="10"/>
  <c r="E13" i="10" s="1"/>
  <c r="E21" i="10"/>
  <c r="E22" i="10"/>
  <c r="E17" i="10"/>
  <c r="E19" i="9"/>
  <c r="E28" i="9"/>
  <c r="E22" i="9"/>
  <c r="E23" i="9"/>
  <c r="D11" i="9"/>
  <c r="E29" i="8"/>
  <c r="E24" i="8"/>
  <c r="D12" i="8"/>
  <c r="E13" i="8" s="1"/>
  <c r="E23" i="8"/>
  <c r="E18" i="8"/>
  <c r="E19" i="8"/>
  <c r="E28" i="8"/>
  <c r="E23" i="7"/>
  <c r="E22" i="7"/>
  <c r="E28" i="7"/>
  <c r="E27" i="7"/>
  <c r="D11" i="7"/>
  <c r="E12" i="7" s="1"/>
  <c r="E17" i="7"/>
  <c r="E18" i="7"/>
  <c r="D10" i="6"/>
  <c r="E12" i="6" s="1"/>
  <c r="E27" i="6"/>
  <c r="E21" i="6"/>
  <c r="E22" i="6"/>
  <c r="E26" i="6"/>
  <c r="E24" i="4"/>
  <c r="E29" i="4"/>
  <c r="D12" i="4"/>
  <c r="E14" i="4" s="1"/>
  <c r="E23" i="4"/>
  <c r="E28" i="4"/>
  <c r="D10" i="1"/>
  <c r="E13" i="1" s="1"/>
  <c r="E22" i="1"/>
  <c r="D10" i="2"/>
  <c r="E11" i="2" s="1"/>
  <c r="E22" i="2"/>
  <c r="E21" i="2"/>
  <c r="E13" i="11" l="1"/>
  <c r="E14" i="11"/>
  <c r="E12" i="10"/>
  <c r="E11" i="10"/>
  <c r="E13" i="9"/>
  <c r="E12" i="9"/>
  <c r="E14" i="9"/>
  <c r="E14" i="8"/>
  <c r="E15" i="8"/>
  <c r="E14" i="7"/>
  <c r="E13" i="7"/>
  <c r="E11" i="6"/>
  <c r="E13" i="6"/>
  <c r="E13" i="4"/>
  <c r="E15" i="4"/>
  <c r="E12" i="1"/>
  <c r="E11" i="1"/>
  <c r="E12" i="2"/>
  <c r="E13" i="2"/>
</calcChain>
</file>

<file path=xl/sharedStrings.xml><?xml version="1.0" encoding="utf-8"?>
<sst xmlns="http://schemas.openxmlformats.org/spreadsheetml/2006/main" count="1228" uniqueCount="317">
  <si>
    <t xml:space="preserve">Team </t>
  </si>
  <si>
    <t>Locos</t>
  </si>
  <si>
    <t>Partidos</t>
  </si>
  <si>
    <t>Ganados</t>
  </si>
  <si>
    <t>Empatados</t>
  </si>
  <si>
    <t>Perdidos</t>
  </si>
  <si>
    <t>Total</t>
  </si>
  <si>
    <t>Nombre</t>
  </si>
  <si>
    <t>Blasfi</t>
  </si>
  <si>
    <t>Total Participaciones</t>
  </si>
  <si>
    <t>Puntos Disputados</t>
  </si>
  <si>
    <t>Puntos Aportados</t>
  </si>
  <si>
    <t>Porcentaje Puntos</t>
  </si>
  <si>
    <t>Resultado Total</t>
  </si>
  <si>
    <t>Total Partidos Disputados</t>
  </si>
  <si>
    <t>%</t>
  </si>
  <si>
    <t xml:space="preserve">Ganados </t>
  </si>
  <si>
    <t>Puntos</t>
  </si>
  <si>
    <t>Fourball</t>
  </si>
  <si>
    <t>Resultado</t>
  </si>
  <si>
    <t>Enfrentamiento</t>
  </si>
  <si>
    <t>Greensome</t>
  </si>
  <si>
    <t>Singles</t>
  </si>
  <si>
    <t xml:space="preserve">Empatados </t>
  </si>
  <si>
    <t>Puntos / Partido</t>
  </si>
  <si>
    <t>Máximo Disponible</t>
  </si>
  <si>
    <t>Fertxo</t>
  </si>
  <si>
    <t>Fourball Disputados</t>
  </si>
  <si>
    <t>Herrero</t>
  </si>
  <si>
    <t xml:space="preserve">Ganado </t>
  </si>
  <si>
    <t>Jido</t>
  </si>
  <si>
    <t>Pedro</t>
  </si>
  <si>
    <t>Greesome Disputados</t>
  </si>
  <si>
    <t>Individuales Disputados</t>
  </si>
  <si>
    <t>Lobos</t>
  </si>
  <si>
    <t>Jacobo</t>
  </si>
  <si>
    <t xml:space="preserve">Pedro - Jaki Vs Blasfi - Cas  </t>
  </si>
  <si>
    <t>Nico</t>
  </si>
  <si>
    <t>Pedro - Jaki Vs Béjar-Nico</t>
  </si>
  <si>
    <t>Bugo</t>
  </si>
  <si>
    <t>Jaki - Jido VS Béjar - Nico</t>
  </si>
  <si>
    <t>Merello</t>
  </si>
  <si>
    <t>Pedro - Jaki Vs Agus-Nico</t>
  </si>
  <si>
    <t>Prieto</t>
  </si>
  <si>
    <t>Jaki - Marcos VS Agus - Nico</t>
  </si>
  <si>
    <t>Alon</t>
  </si>
  <si>
    <t>Dore</t>
  </si>
  <si>
    <t>Pedro - Juan VS Bugo - Jaime</t>
  </si>
  <si>
    <t>Pedro - Diego VS Dore - Blasfi</t>
  </si>
  <si>
    <t>Nacho</t>
  </si>
  <si>
    <t>Nacho -  Juan VS Bugo - Alon</t>
  </si>
  <si>
    <t>Nacho - Diego VS Alon - Prieto</t>
  </si>
  <si>
    <t>Jaime</t>
  </si>
  <si>
    <t>Nacho -  Juan VS Jaime - Béjar</t>
  </si>
  <si>
    <t>Nacho - Edwards VS Alon - Béjar</t>
  </si>
  <si>
    <t>Jido - Herrero VS Alon - Béjar</t>
  </si>
  <si>
    <t>Jido - Marcos VS Alon - Bugo</t>
  </si>
  <si>
    <t>Jido - Marcos VS Dore - Cas</t>
  </si>
  <si>
    <t>Béjar</t>
  </si>
  <si>
    <t>Jido - Jacobo VS Nico - Béjar</t>
  </si>
  <si>
    <t>Jido - Estanis VS Alon -  Dore</t>
  </si>
  <si>
    <t xml:space="preserve">Jido - Nacho VS Alon - Béjar </t>
  </si>
  <si>
    <t>Fertxo - Juan VS Nico - Bugo</t>
  </si>
  <si>
    <t>Fertxo - Juan VS Blasfi - Merello</t>
  </si>
  <si>
    <t>Fertxo - Herrero VS Dore - Castejas</t>
  </si>
  <si>
    <t>Fertxo - Armando VS Bugo - Blasfi</t>
  </si>
  <si>
    <t>Fertxo - Estanis VS Bugo - Jaime</t>
  </si>
  <si>
    <t>Herrero - Jido VS Alon - Béjar</t>
  </si>
  <si>
    <t>Herrero - Diego VS Dore - Castejas</t>
  </si>
  <si>
    <t>Herrero - Diego VS Prieto - Blasfi</t>
  </si>
  <si>
    <t>Herrero - Fertxo VS Dore - Castejas</t>
  </si>
  <si>
    <t>Diego</t>
  </si>
  <si>
    <t>Diego -  Herrero VS Dore - Cas</t>
  </si>
  <si>
    <t>Diego -  Herrero VS Prieto - Blasfi</t>
  </si>
  <si>
    <t>Agus</t>
  </si>
  <si>
    <t>Diego - Nacho VS Alon - Prieto</t>
  </si>
  <si>
    <t>Diego - Marcos VS Prieto - Castejas</t>
  </si>
  <si>
    <t>Diego - Pedro VS Dore - Blasfi</t>
  </si>
  <si>
    <t>Juan - Fertxo VS Bugo - Nico</t>
  </si>
  <si>
    <t>Castejas</t>
  </si>
  <si>
    <t>Juan - Fertxo VS Blasfi - Merello</t>
  </si>
  <si>
    <t>Juan - Nacho Vs Bugo - Alon</t>
  </si>
  <si>
    <t>Juan -  Pedro VS Bugo - Jaime</t>
  </si>
  <si>
    <t>Juan - Nacho VS Jaime - Béjar</t>
  </si>
  <si>
    <t>Juan- Armando VS Castejas -  Prieto</t>
  </si>
  <si>
    <t>Marcos</t>
  </si>
  <si>
    <t>Juan</t>
  </si>
  <si>
    <t>Marcos - Jido VS Alon - Bugo</t>
  </si>
  <si>
    <t>Marcos - Jido VS  Dore - Castejas</t>
  </si>
  <si>
    <t>Marcos - Armando VS Blasfi - Merello</t>
  </si>
  <si>
    <t>Marcos - Diego VS Prieto - Castejas</t>
  </si>
  <si>
    <t>Marcos -  Jaki VS Agus - Nico</t>
  </si>
  <si>
    <t>Jugador</t>
  </si>
  <si>
    <t>Participaciones</t>
  </si>
  <si>
    <t>Disputados</t>
  </si>
  <si>
    <t>Aportados</t>
  </si>
  <si>
    <t>I RYDER CUP LOCOS vs LOBOS</t>
  </si>
  <si>
    <t>Real Club de Golf de Castiello (Gijón, 2013)</t>
  </si>
  <si>
    <t>II RYDER CUP LOCOS vs LOBOS</t>
  </si>
  <si>
    <t>Layos Golf (Layos, 2014)</t>
  </si>
  <si>
    <t>III RYDER CUP LOCOS vs LOBOS</t>
  </si>
  <si>
    <t>Club de Golf Las Pinaillas  (Villapardillo, 2015)</t>
  </si>
  <si>
    <t>IV RYDER CUP LOCOS vs LOBOS</t>
  </si>
  <si>
    <t>Club de Golf Montecastillo (Jerez de la Frontera, 2016)</t>
  </si>
  <si>
    <t>V RYDER CUP LOCOS vs LOBOS</t>
  </si>
  <si>
    <t>Club de Golf La Galiana (Valencia, 2017)</t>
  </si>
  <si>
    <t>VI RYDER CUP LOCOS vs LOBOS</t>
  </si>
  <si>
    <t>Club de Golf Isla de Valedecañas (Valdecañas, 2018)</t>
  </si>
  <si>
    <t>Individuales</t>
  </si>
  <si>
    <t>Club La Galiana (Valencia, 2017)</t>
  </si>
  <si>
    <t>VII RYDER CUP LOCOS vs LOBOS</t>
  </si>
  <si>
    <t>Club de Golf La Manga (La Manga, 2019)</t>
  </si>
  <si>
    <t>Jacobo - Pedro</t>
  </si>
  <si>
    <t>Jido - Herrero</t>
  </si>
  <si>
    <t>Juan - Fertxo</t>
  </si>
  <si>
    <t>Jido -  Marcos</t>
  </si>
  <si>
    <t>Herrero - Diego</t>
  </si>
  <si>
    <t>Juan - Nacho</t>
  </si>
  <si>
    <t>Marcos - Jido</t>
  </si>
  <si>
    <t>Juan - Pedro</t>
  </si>
  <si>
    <t>Marcos - Armando</t>
  </si>
  <si>
    <t>Jaki - Jido</t>
  </si>
  <si>
    <t>Fertxo - Herrero</t>
  </si>
  <si>
    <t>Nacho - Diego</t>
  </si>
  <si>
    <t>Marcos- Diego VS Castejas Prieto</t>
  </si>
  <si>
    <t>Juan-Pablo G VS Nico-Alon</t>
  </si>
  <si>
    <t>Bejar</t>
  </si>
  <si>
    <t>Fertxo-Pedro VS Bugo-Jaime</t>
  </si>
  <si>
    <t>Nacho - Edwards VS Dore-Blas</t>
  </si>
  <si>
    <t>Pedro - Pablo M  VS Bugo - Jaime</t>
  </si>
  <si>
    <t>Jaki - Gilca  VS Agus - Béjar</t>
  </si>
  <si>
    <t>Juan-Pablo G</t>
  </si>
  <si>
    <t>Jaki -Gilca</t>
  </si>
  <si>
    <t>Diego-Marcos</t>
  </si>
  <si>
    <t>Nacho-Jido</t>
  </si>
  <si>
    <t>Pedro-Pablo M/Fer</t>
  </si>
  <si>
    <t>Marcos - Diego</t>
  </si>
  <si>
    <t>Fertxo - Armando</t>
  </si>
  <si>
    <t>Pedro - Jaky</t>
  </si>
  <si>
    <t>Jido - Estanis</t>
  </si>
  <si>
    <t>Marcos - Jaky</t>
  </si>
  <si>
    <t>Juan - Armando</t>
  </si>
  <si>
    <t>Diego - Pedro</t>
  </si>
  <si>
    <t>Jido - Nacho</t>
  </si>
  <si>
    <t>Fertxo - Estanis</t>
  </si>
  <si>
    <t>Marcos-Fertxo VS Alon Nico</t>
  </si>
  <si>
    <t>Marcos Jaco VS Cas Prieto</t>
  </si>
  <si>
    <t>Blas</t>
  </si>
  <si>
    <t>Jaki - Diego VS Jaime - B éjar</t>
  </si>
  <si>
    <t>Jaco Marcos VS Cas Prieto</t>
  </si>
  <si>
    <t>Diego Jaki -  VS Jaime - Béjar</t>
  </si>
  <si>
    <t>Diego-Pedro VS Alon-Nico</t>
  </si>
  <si>
    <t>Pedro Ratón VS Prieto Cas</t>
  </si>
  <si>
    <t>Pedro Diego VS Alon Nico</t>
  </si>
  <si>
    <t>Juan-Pablo M VS Bugo Alf Nico</t>
  </si>
  <si>
    <t>Juan- Gupi VS Béjar Agus</t>
  </si>
  <si>
    <t>Fertxo-Marcos- VS Alon Nico</t>
  </si>
  <si>
    <t>Fertxo Jido VS - Bugo Nano</t>
  </si>
  <si>
    <t>Nano</t>
  </si>
  <si>
    <t>Alf Nico</t>
  </si>
  <si>
    <t>Nacho P. Medina VS Blas Dore</t>
  </si>
  <si>
    <t>Jido-Nacho   VS Dore-Blas</t>
  </si>
  <si>
    <t>Jido-Fer VS Bugo-Nano</t>
  </si>
  <si>
    <t>Gilca-Jaki -   VS Agus - Béjar</t>
  </si>
  <si>
    <t>Gilca-Pedro  VS Prieto Cas</t>
  </si>
  <si>
    <t>Ratón</t>
  </si>
  <si>
    <t>Medina</t>
  </si>
  <si>
    <t>Pablo M-Pedro   VS Bugo - Jaime</t>
  </si>
  <si>
    <t>Pablo M - Juan VS Bugo Alf Nico</t>
  </si>
  <si>
    <t>Nacho- P. Medina VS Blas Dore</t>
  </si>
  <si>
    <t>Pablo M-Nacho VS Blas Dore</t>
  </si>
  <si>
    <t>Gurpegui</t>
  </si>
  <si>
    <t>Gupi-Juan VS Béjar Agus</t>
  </si>
  <si>
    <t>VIII RYDER CUP LOCOS vs LOBOS</t>
  </si>
  <si>
    <t>IX RYDER CUP LOCOS vs LOBOS</t>
  </si>
  <si>
    <t>Banco Santander (Madrid, 2020)</t>
  </si>
  <si>
    <t>Novo Sancti Petri (Cádiz, 2021)</t>
  </si>
  <si>
    <t>Juan-Pablo M</t>
  </si>
  <si>
    <t>Jaki -Diego</t>
  </si>
  <si>
    <t>Fertxo-Marcos</t>
  </si>
  <si>
    <t>Pedro-Ratón</t>
  </si>
  <si>
    <t>Juan-Gur</t>
  </si>
  <si>
    <t>Jaki -Marcos</t>
  </si>
  <si>
    <t>Fertxo-Jido</t>
  </si>
  <si>
    <t>Nacho-Pablo M</t>
  </si>
  <si>
    <t>Pedro-Diego</t>
  </si>
  <si>
    <t>X RYDER CUP LOCOS vs LOBOS</t>
  </si>
  <si>
    <t>Assoufid (Marrakech, 2022)</t>
  </si>
  <si>
    <t>Marcos-Diego VS Béjar-Juanma</t>
  </si>
  <si>
    <t>Juan- Gupi VS Castejas -  Prieto</t>
  </si>
  <si>
    <t>Diego-Marcos VS Béjar-Juanma</t>
  </si>
  <si>
    <t>Fertxo-Nacho VS Dore-Jaime</t>
  </si>
  <si>
    <t>Pelete</t>
  </si>
  <si>
    <t>Nacho-Fertxo VS Dore-Jaime</t>
  </si>
  <si>
    <t>Juanma Melgarejo</t>
  </si>
  <si>
    <t>Pedro - Medina VS Bugo-Alon</t>
  </si>
  <si>
    <t>Jido-Jaky VS Blasfi-Agus</t>
  </si>
  <si>
    <t>Jaky-Jido VS Blasfi-Agus</t>
  </si>
  <si>
    <t>Gupi-Juan VS Prieto-Castejas</t>
  </si>
  <si>
    <t>Medina - PedroVS Bugo-Alon</t>
  </si>
  <si>
    <t>Fertxo-Nacho</t>
  </si>
  <si>
    <t>Marcos-Diego</t>
  </si>
  <si>
    <t>Pablo M. - Pedro</t>
  </si>
  <si>
    <t>Jaki-Jido</t>
  </si>
  <si>
    <t>XI RYDER CUP LOCOS vs LOBOS</t>
  </si>
  <si>
    <t>Puerto Sherry (Jerez, 2023)</t>
  </si>
  <si>
    <t>Marcos Fertxo VS Nico Bugo</t>
  </si>
  <si>
    <t>Pradas</t>
  </si>
  <si>
    <t>Juan- Gupi VS Castejas -  Alon</t>
  </si>
  <si>
    <t>Diego Nacho VS Pradas Béjar</t>
  </si>
  <si>
    <t>Fertxo Marcos VS Bugo Nico</t>
  </si>
  <si>
    <t>Nacho Diego VS Pradas Béjar</t>
  </si>
  <si>
    <t>Pedro - Medina VS Prieto Agus</t>
  </si>
  <si>
    <t>Jido-Jaky VS Blasfi Dore</t>
  </si>
  <si>
    <t>Jaky-Jido VS Blasfi Dore</t>
  </si>
  <si>
    <t>Gupi-Juan VS Alon Castejas</t>
  </si>
  <si>
    <t>Medina - PedroVS Agus Prieto</t>
  </si>
  <si>
    <t>XII RYDER CUP LOCOS vs LOBOS</t>
  </si>
  <si>
    <t>La Faisanera (Segovia, 2024)</t>
  </si>
  <si>
    <t>Marcos Medina VS Agus Blasfi</t>
  </si>
  <si>
    <t>Juan- Gupi VS Nico -  Alon</t>
  </si>
  <si>
    <t>Diego Pedro VS Béjar Pradas</t>
  </si>
  <si>
    <t>Fertxo Nacho VS Prieto Castejas</t>
  </si>
  <si>
    <t>Nacho Fertxo VS Prieto Castejas</t>
  </si>
  <si>
    <t>Pedro Diego VS Béjar Pradas</t>
  </si>
  <si>
    <t>Jido Jaky VS Bugo Merello</t>
  </si>
  <si>
    <t>Jaky Jido VS Bugo Merello</t>
  </si>
  <si>
    <t>ç</t>
  </si>
  <si>
    <t>Gupi Juan VS Alon Nico</t>
  </si>
  <si>
    <t>Medina Marcos VS Blasfi Agus</t>
  </si>
  <si>
    <t>Medina-Marcos</t>
  </si>
  <si>
    <t>Marcos Medina VS Nico Alon</t>
  </si>
  <si>
    <t>Juan- Herre  VS Bugo Pelete</t>
  </si>
  <si>
    <t>Diego Pedro VS Agus Juanma</t>
  </si>
  <si>
    <t>Fertxo Nacho VS Blas Béjar</t>
  </si>
  <si>
    <t>Rodrigo Cortés</t>
  </si>
  <si>
    <t>Jido Jaky VS Rodrigo Merello</t>
  </si>
  <si>
    <t>Jaky Jido VS Rodrigo  Merello</t>
  </si>
  <si>
    <t>Gupi Juan VS Bugo Prieto</t>
  </si>
  <si>
    <t>Medina Marcos VS Nico Alon</t>
  </si>
  <si>
    <t>Juanma</t>
  </si>
  <si>
    <t>Herrero - Fjuan VS Bugo Prieto</t>
  </si>
  <si>
    <t>XIII RYDER CUP LOCOS vs LOBOS</t>
  </si>
  <si>
    <t>El Saler ( Valencia, 2025)</t>
  </si>
  <si>
    <t>Juan-Herrero</t>
  </si>
  <si>
    <t>Fercho Nacho</t>
  </si>
  <si>
    <t>Medina Marcos</t>
  </si>
  <si>
    <t>Team</t>
  </si>
  <si>
    <t>Apellido 1</t>
  </si>
  <si>
    <t>Apellido 2</t>
  </si>
  <si>
    <t>Hcp</t>
  </si>
  <si>
    <t>Hcp de juego</t>
  </si>
  <si>
    <t>Licencia</t>
  </si>
  <si>
    <t>actual</t>
  </si>
  <si>
    <t>diferencia</t>
  </si>
  <si>
    <t>Loco</t>
  </si>
  <si>
    <t>Jose Maria</t>
  </si>
  <si>
    <t>Alonso</t>
  </si>
  <si>
    <t>Monforte</t>
  </si>
  <si>
    <t>CM01158583</t>
  </si>
  <si>
    <t>Frias</t>
  </si>
  <si>
    <t>CM01280923</t>
  </si>
  <si>
    <t>Alvaro</t>
  </si>
  <si>
    <t>de Blas</t>
  </si>
  <si>
    <t>Albert</t>
  </si>
  <si>
    <t>CM11113539</t>
  </si>
  <si>
    <t>Borja</t>
  </si>
  <si>
    <t>de Luis</t>
  </si>
  <si>
    <t>CM02114593</t>
  </si>
  <si>
    <t>Agustín</t>
  </si>
  <si>
    <t>De Miguel</t>
  </si>
  <si>
    <t>Querejeta</t>
  </si>
  <si>
    <t>CM02899987</t>
  </si>
  <si>
    <t>Dominguez</t>
  </si>
  <si>
    <t xml:space="preserve">Álvaro </t>
  </si>
  <si>
    <t>De Nicolás</t>
  </si>
  <si>
    <t>González</t>
  </si>
  <si>
    <t>0201694163</t>
  </si>
  <si>
    <t>Edwards</t>
  </si>
  <si>
    <t>Lobo</t>
  </si>
  <si>
    <t>Vega-Penichet</t>
  </si>
  <si>
    <t>CM01630776</t>
  </si>
  <si>
    <t>Fernandez</t>
  </si>
  <si>
    <t>Jorge</t>
  </si>
  <si>
    <t>Bernar</t>
  </si>
  <si>
    <t>CM01132862</t>
  </si>
  <si>
    <t>Ortiz</t>
  </si>
  <si>
    <t>Ignacio</t>
  </si>
  <si>
    <t>Aparicio</t>
  </si>
  <si>
    <t>CM52972335</t>
  </si>
  <si>
    <t>Goizueta</t>
  </si>
  <si>
    <t xml:space="preserve">Pedro </t>
  </si>
  <si>
    <t>Hernandez</t>
  </si>
  <si>
    <t>CM01142461</t>
  </si>
  <si>
    <t>Otegui</t>
  </si>
  <si>
    <t>Iñigo</t>
  </si>
  <si>
    <t>Glez de Castejon</t>
  </si>
  <si>
    <t>CM01100458</t>
  </si>
  <si>
    <t>José Luis</t>
  </si>
  <si>
    <t>CM81972335</t>
  </si>
  <si>
    <t>Melgarejo</t>
  </si>
  <si>
    <t>Molina</t>
  </si>
  <si>
    <t>AM00926120</t>
  </si>
  <si>
    <t>Carlos</t>
  </si>
  <si>
    <t>Otto</t>
  </si>
  <si>
    <t>CM02062781</t>
  </si>
  <si>
    <t>Riera</t>
  </si>
  <si>
    <t>AM51140802</t>
  </si>
  <si>
    <t>Santos</t>
  </si>
  <si>
    <t>Gallego</t>
  </si>
  <si>
    <t>CM04163293</t>
  </si>
  <si>
    <t>Suárez de Lezo</t>
  </si>
  <si>
    <t>Ferrer</t>
  </si>
  <si>
    <t>CM01182159</t>
  </si>
  <si>
    <t>Fernando</t>
  </si>
  <si>
    <t>Suárez de Tangil</t>
  </si>
  <si>
    <t>Peletier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</si>
</sst>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3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4C4C4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</fills>
  <borders count="59">
    <border>
      <left/>
      <right/>
      <top/>
      <bottom/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/>
      <right/>
      <top/>
      <bottom style="thick">
        <color theme="3"/>
      </bottom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/>
      <right/>
      <top style="double">
        <color auto="1"/>
      </top>
      <bottom style="medium">
        <color theme="3"/>
      </bottom>
      <diagonal/>
    </border>
    <border>
      <left/>
      <right/>
      <top/>
      <bottom style="thin">
        <color auto="1"/>
      </bottom>
      <diagonal/>
    </border>
    <border>
      <left/>
      <right style="thick">
        <color theme="3"/>
      </right>
      <top/>
      <bottom style="thin">
        <color auto="1"/>
      </bottom>
      <diagonal/>
    </border>
    <border>
      <left/>
      <right style="thick">
        <color theme="3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medium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 style="thick">
        <color theme="3"/>
      </left>
      <right/>
      <top/>
      <bottom style="dashed">
        <color theme="3"/>
      </bottom>
      <diagonal/>
    </border>
    <border>
      <left/>
      <right/>
      <top/>
      <bottom style="dashed">
        <color theme="3"/>
      </bottom>
      <diagonal/>
    </border>
    <border>
      <left/>
      <right style="thick">
        <color theme="3"/>
      </right>
      <top/>
      <bottom style="dashed">
        <color theme="3"/>
      </bottom>
      <diagonal/>
    </border>
    <border>
      <left style="thick">
        <color theme="3"/>
      </left>
      <right/>
      <top style="dashed">
        <color theme="3"/>
      </top>
      <bottom style="thick">
        <color theme="3"/>
      </bottom>
      <diagonal/>
    </border>
    <border>
      <left/>
      <right/>
      <top style="dashed">
        <color theme="3"/>
      </top>
      <bottom style="thick">
        <color theme="3"/>
      </bottom>
      <diagonal/>
    </border>
    <border>
      <left/>
      <right style="thick">
        <color theme="3"/>
      </right>
      <top style="dashed">
        <color theme="3"/>
      </top>
      <bottom style="thick">
        <color theme="3"/>
      </bottom>
      <diagonal/>
    </border>
    <border>
      <left/>
      <right style="thick">
        <color theme="3"/>
      </right>
      <top style="double">
        <color auto="1"/>
      </top>
      <bottom style="medium">
        <color theme="3"/>
      </bottom>
      <diagonal/>
    </border>
    <border>
      <left/>
      <right/>
      <top style="thick">
        <color theme="3"/>
      </top>
      <bottom style="medium">
        <color theme="3"/>
      </bottom>
      <diagonal/>
    </border>
    <border>
      <left/>
      <right style="thick">
        <color theme="3"/>
      </right>
      <top style="thick">
        <color theme="3"/>
      </top>
      <bottom style="medium">
        <color theme="3"/>
      </bottom>
      <diagonal/>
    </border>
    <border>
      <left/>
      <right style="medium">
        <color theme="3"/>
      </right>
      <top/>
      <bottom/>
      <diagonal/>
    </border>
    <border>
      <left/>
      <right style="medium">
        <color theme="3"/>
      </right>
      <top style="thick">
        <color theme="3"/>
      </top>
      <bottom style="medium">
        <color theme="3"/>
      </bottom>
      <diagonal/>
    </border>
    <border>
      <left/>
      <right style="medium">
        <color theme="3"/>
      </right>
      <top style="thick">
        <color theme="3"/>
      </top>
      <bottom style="thick">
        <color theme="3"/>
      </bottom>
      <diagonal/>
    </border>
    <border>
      <left/>
      <right style="medium">
        <color theme="3"/>
      </right>
      <top/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medium">
        <color theme="3"/>
      </top>
      <bottom/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 style="thick">
        <color auto="1"/>
      </right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thick">
        <color theme="3"/>
      </right>
      <top/>
      <bottom style="medium">
        <color theme="3"/>
      </bottom>
      <diagonal/>
    </border>
    <border>
      <left/>
      <right style="thick">
        <color theme="3"/>
      </right>
      <top/>
      <bottom style="double">
        <color theme="3"/>
      </bottom>
      <diagonal/>
    </border>
    <border>
      <left/>
      <right/>
      <top/>
      <bottom style="double">
        <color theme="3"/>
      </bottom>
      <diagonal/>
    </border>
    <border>
      <left/>
      <right/>
      <top style="dashed">
        <color theme="3"/>
      </top>
      <bottom/>
      <diagonal/>
    </border>
    <border>
      <left/>
      <right style="thick">
        <color theme="3"/>
      </right>
      <top style="dashed">
        <color theme="3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theme="3"/>
      </right>
      <top style="thin">
        <color indexed="64"/>
      </top>
      <bottom/>
      <diagonal/>
    </border>
    <border>
      <left/>
      <right/>
      <top style="thin">
        <color theme="3"/>
      </top>
      <bottom/>
      <diagonal/>
    </border>
    <border>
      <left/>
      <right style="thick">
        <color theme="3"/>
      </right>
      <top style="thin">
        <color theme="3"/>
      </top>
      <bottom/>
      <diagonal/>
    </border>
    <border>
      <left style="thick">
        <color auto="1"/>
      </left>
      <right/>
      <top style="double">
        <color auto="1"/>
      </top>
      <bottom style="thick">
        <color theme="3"/>
      </bottom>
      <diagonal/>
    </border>
    <border>
      <left/>
      <right style="medium">
        <color indexed="64"/>
      </right>
      <top/>
      <bottom style="dashed">
        <color theme="3"/>
      </bottom>
      <diagonal/>
    </border>
    <border>
      <left/>
      <right/>
      <top style="dashed">
        <color theme="3"/>
      </top>
      <bottom style="medium">
        <color indexed="64"/>
      </bottom>
      <diagonal/>
    </border>
    <border>
      <left/>
      <right style="medium">
        <color indexed="64"/>
      </right>
      <top style="dashed">
        <color theme="3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theme="3"/>
      </bottom>
      <diagonal/>
    </border>
    <border>
      <left style="medium">
        <color indexed="64"/>
      </left>
      <right/>
      <top style="dashed">
        <color theme="3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right"/>
    </xf>
    <xf numFmtId="0" fontId="2" fillId="0" borderId="4" xfId="0" applyFont="1" applyBorder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 applyAlignment="1">
      <alignment horizontal="right"/>
    </xf>
    <xf numFmtId="0" fontId="0" fillId="0" borderId="0" xfId="1" applyNumberFormat="1" applyFont="1"/>
    <xf numFmtId="0" fontId="4" fillId="0" borderId="0" xfId="0" applyFont="1"/>
    <xf numFmtId="0" fontId="5" fillId="0" borderId="0" xfId="0" applyFont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1" fontId="0" fillId="0" borderId="0" xfId="0" applyNumberFormat="1"/>
    <xf numFmtId="2" fontId="0" fillId="0" borderId="8" xfId="0" applyNumberFormat="1" applyBorder="1"/>
    <xf numFmtId="0" fontId="0" fillId="0" borderId="5" xfId="0" applyBorder="1"/>
    <xf numFmtId="0" fontId="0" fillId="0" borderId="4" xfId="0" applyBorder="1"/>
    <xf numFmtId="165" fontId="0" fillId="0" borderId="6" xfId="2" applyNumberFormat="1" applyFont="1" applyFill="1" applyBorder="1"/>
    <xf numFmtId="0" fontId="3" fillId="3" borderId="9" xfId="0" applyFont="1" applyFill="1" applyBorder="1"/>
    <xf numFmtId="0" fontId="2" fillId="0" borderId="4" xfId="0" applyFont="1" applyBorder="1" applyAlignment="1">
      <alignment horizontal="right"/>
    </xf>
    <xf numFmtId="0" fontId="0" fillId="0" borderId="0" xfId="0" applyAlignment="1">
      <alignment horizontal="left" indent="1"/>
    </xf>
    <xf numFmtId="165" fontId="0" fillId="0" borderId="0" xfId="2" applyNumberFormat="1" applyFont="1"/>
    <xf numFmtId="0" fontId="3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7" fillId="3" borderId="0" xfId="0" applyFont="1" applyFill="1"/>
    <xf numFmtId="0" fontId="7" fillId="3" borderId="3" xfId="0" applyFont="1" applyFill="1" applyBorder="1"/>
    <xf numFmtId="0" fontId="3" fillId="3" borderId="2" xfId="0" applyFont="1" applyFill="1" applyBorder="1"/>
    <xf numFmtId="0" fontId="3" fillId="3" borderId="10" xfId="0" applyFont="1" applyFill="1" applyBorder="1"/>
    <xf numFmtId="0" fontId="8" fillId="3" borderId="10" xfId="0" applyFont="1" applyFill="1" applyBorder="1"/>
    <xf numFmtId="0" fontId="8" fillId="3" borderId="11" xfId="0" applyFont="1" applyFill="1" applyBorder="1"/>
    <xf numFmtId="2" fontId="5" fillId="0" borderId="0" xfId="0" applyNumberFormat="1" applyFont="1"/>
    <xf numFmtId="0" fontId="4" fillId="0" borderId="8" xfId="0" applyFont="1" applyBorder="1" applyAlignment="1">
      <alignment horizontal="left"/>
    </xf>
    <xf numFmtId="2" fontId="4" fillId="0" borderId="0" xfId="0" applyNumberFormat="1" applyFont="1"/>
    <xf numFmtId="0" fontId="4" fillId="0" borderId="12" xfId="0" applyFont="1" applyBorder="1" applyAlignment="1">
      <alignment horizontal="left"/>
    </xf>
    <xf numFmtId="2" fontId="5" fillId="0" borderId="13" xfId="0" applyNumberFormat="1" applyFont="1" applyBorder="1"/>
    <xf numFmtId="0" fontId="4" fillId="0" borderId="13" xfId="0" applyFont="1" applyBorder="1"/>
    <xf numFmtId="2" fontId="3" fillId="3" borderId="9" xfId="0" applyNumberFormat="1" applyFont="1" applyFill="1" applyBorder="1"/>
    <xf numFmtId="0" fontId="3" fillId="3" borderId="14" xfId="0" applyFont="1" applyFill="1" applyBorder="1"/>
    <xf numFmtId="0" fontId="2" fillId="2" borderId="15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5" fillId="0" borderId="0" xfId="2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2" fontId="6" fillId="0" borderId="8" xfId="2" applyNumberFormat="1" applyFont="1" applyFill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8" xfId="0" applyNumberForma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3" borderId="22" xfId="0" applyFont="1" applyFill="1" applyBorder="1"/>
    <xf numFmtId="0" fontId="0" fillId="2" borderId="0" xfId="0" applyFill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6" fillId="0" borderId="0" xfId="2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165" fontId="5" fillId="0" borderId="25" xfId="2" applyNumberFormat="1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4" fillId="0" borderId="8" xfId="0" applyFont="1" applyBorder="1"/>
    <xf numFmtId="1" fontId="4" fillId="0" borderId="4" xfId="0" applyNumberFormat="1" applyFont="1" applyBorder="1" applyAlignment="1">
      <alignment horizontal="center"/>
    </xf>
    <xf numFmtId="165" fontId="5" fillId="0" borderId="28" xfId="2" applyNumberFormat="1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1" fontId="4" fillId="0" borderId="30" xfId="0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2" fontId="6" fillId="0" borderId="8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4" fontId="0" fillId="0" borderId="0" xfId="1" applyFont="1" applyBorder="1"/>
    <xf numFmtId="0" fontId="4" fillId="0" borderId="4" xfId="0" applyFont="1" applyBorder="1"/>
    <xf numFmtId="0" fontId="6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center"/>
    </xf>
    <xf numFmtId="0" fontId="3" fillId="3" borderId="3" xfId="0" applyFont="1" applyFill="1" applyBorder="1"/>
    <xf numFmtId="0" fontId="3" fillId="3" borderId="11" xfId="0" applyFont="1" applyFill="1" applyBorder="1"/>
    <xf numFmtId="2" fontId="4" fillId="0" borderId="8" xfId="0" applyNumberFormat="1" applyFont="1" applyBorder="1"/>
    <xf numFmtId="2" fontId="3" fillId="3" borderId="22" xfId="0" applyNumberFormat="1" applyFont="1" applyFill="1" applyBorder="1"/>
    <xf numFmtId="0" fontId="3" fillId="3" borderId="32" xfId="0" applyFont="1" applyFill="1" applyBorder="1"/>
    <xf numFmtId="2" fontId="3" fillId="3" borderId="33" xfId="0" applyNumberFormat="1" applyFont="1" applyFill="1" applyBorder="1"/>
    <xf numFmtId="0" fontId="3" fillId="3" borderId="33" xfId="0" applyFont="1" applyFill="1" applyBorder="1"/>
    <xf numFmtId="0" fontId="3" fillId="3" borderId="34" xfId="0" applyFont="1" applyFill="1" applyBorder="1"/>
    <xf numFmtId="0" fontId="4" fillId="0" borderId="35" xfId="0" applyFont="1" applyBorder="1" applyAlignment="1">
      <alignment horizontal="left"/>
    </xf>
    <xf numFmtId="2" fontId="5" fillId="0" borderId="36" xfId="0" applyNumberFormat="1" applyFont="1" applyBorder="1"/>
    <xf numFmtId="0" fontId="4" fillId="0" borderId="36" xfId="0" applyFont="1" applyBorder="1"/>
    <xf numFmtId="2" fontId="0" fillId="0" borderId="7" xfId="0" applyNumberFormat="1" applyBorder="1"/>
    <xf numFmtId="164" fontId="6" fillId="0" borderId="0" xfId="1" applyFont="1" applyBorder="1"/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2" fontId="0" fillId="0" borderId="40" xfId="0" applyNumberFormat="1" applyBorder="1" applyAlignment="1">
      <alignment horizontal="center" vertical="center"/>
    </xf>
    <xf numFmtId="2" fontId="14" fillId="0" borderId="41" xfId="0" applyNumberFormat="1" applyFont="1" applyBorder="1" applyAlignment="1">
      <alignment horizontal="center" vertical="center"/>
    </xf>
    <xf numFmtId="0" fontId="0" fillId="0" borderId="42" xfId="0" applyBorder="1"/>
    <xf numFmtId="2" fontId="14" fillId="0" borderId="43" xfId="0" applyNumberFormat="1" applyFont="1" applyBorder="1" applyAlignment="1">
      <alignment horizontal="center" vertical="center"/>
    </xf>
    <xf numFmtId="0" fontId="0" fillId="0" borderId="44" xfId="0" applyBorder="1"/>
    <xf numFmtId="2" fontId="0" fillId="0" borderId="45" xfId="0" applyNumberFormat="1" applyBorder="1" applyAlignment="1">
      <alignment horizontal="center" vertical="center"/>
    </xf>
    <xf numFmtId="2" fontId="14" fillId="0" borderId="46" xfId="0" applyNumberFormat="1" applyFont="1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0" fillId="0" borderId="43" xfId="0" applyBorder="1"/>
    <xf numFmtId="0" fontId="9" fillId="0" borderId="42" xfId="0" applyFont="1" applyBorder="1" applyAlignment="1">
      <alignment vertical="center"/>
    </xf>
    <xf numFmtId="0" fontId="11" fillId="0" borderId="43" xfId="0" applyFont="1" applyBorder="1" applyAlignment="1">
      <alignment horizontal="center" vertical="center"/>
    </xf>
    <xf numFmtId="0" fontId="12" fillId="0" borderId="42" xfId="0" applyFont="1" applyBorder="1" applyAlignment="1">
      <alignment vertical="center"/>
    </xf>
    <xf numFmtId="2" fontId="11" fillId="0" borderId="43" xfId="0" applyNumberFormat="1" applyFont="1" applyBorder="1" applyAlignment="1">
      <alignment horizontal="center" vertical="center"/>
    </xf>
    <xf numFmtId="2" fontId="6" fillId="0" borderId="43" xfId="2" applyNumberFormat="1" applyFont="1" applyFill="1" applyBorder="1" applyAlignment="1">
      <alignment horizontal="center" vertical="center"/>
    </xf>
    <xf numFmtId="2" fontId="6" fillId="0" borderId="43" xfId="0" applyNumberFormat="1" applyFont="1" applyBorder="1" applyAlignment="1">
      <alignment horizontal="center" vertical="center"/>
    </xf>
    <xf numFmtId="2" fontId="13" fillId="0" borderId="43" xfId="0" applyNumberFormat="1" applyFont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16" fillId="0" borderId="42" xfId="0" applyFont="1" applyBorder="1" applyAlignment="1">
      <alignment vertical="center"/>
    </xf>
    <xf numFmtId="164" fontId="0" fillId="0" borderId="43" xfId="1" applyFont="1" applyBorder="1"/>
    <xf numFmtId="0" fontId="16" fillId="0" borderId="44" xfId="0" applyFont="1" applyBorder="1" applyAlignment="1">
      <alignment vertical="center"/>
    </xf>
    <xf numFmtId="1" fontId="4" fillId="0" borderId="6" xfId="0" applyNumberFormat="1" applyFont="1" applyBorder="1" applyAlignment="1">
      <alignment horizontal="center"/>
    </xf>
    <xf numFmtId="0" fontId="3" fillId="0" borderId="0" xfId="0" applyFont="1"/>
    <xf numFmtId="0" fontId="0" fillId="2" borderId="39" xfId="0" applyFill="1" applyBorder="1"/>
    <xf numFmtId="0" fontId="2" fillId="2" borderId="40" xfId="0" applyFont="1" applyFill="1" applyBorder="1" applyAlignment="1">
      <alignment horizontal="center" vertical="center"/>
    </xf>
    <xf numFmtId="0" fontId="6" fillId="2" borderId="41" xfId="0" applyFont="1" applyFill="1" applyBorder="1" applyAlignment="1">
      <alignment horizontal="center" vertical="center"/>
    </xf>
    <xf numFmtId="0" fontId="0" fillId="2" borderId="42" xfId="0" applyFill="1" applyBorder="1"/>
    <xf numFmtId="0" fontId="0" fillId="2" borderId="43" xfId="0" applyFill="1" applyBorder="1" applyAlignment="1">
      <alignment horizontal="center" vertical="center"/>
    </xf>
    <xf numFmtId="0" fontId="8" fillId="3" borderId="8" xfId="0" applyFont="1" applyFill="1" applyBorder="1"/>
    <xf numFmtId="0" fontId="8" fillId="3" borderId="0" xfId="0" applyFont="1" applyFill="1"/>
    <xf numFmtId="0" fontId="4" fillId="0" borderId="47" xfId="0" applyFont="1" applyBorder="1"/>
    <xf numFmtId="2" fontId="5" fillId="0" borderId="47" xfId="0" applyNumberFormat="1" applyFont="1" applyBorder="1"/>
    <xf numFmtId="0" fontId="4" fillId="0" borderId="48" xfId="0" applyFont="1" applyBorder="1" applyAlignment="1">
      <alignment horizontal="left"/>
    </xf>
    <xf numFmtId="0" fontId="4" fillId="0" borderId="49" xfId="0" applyFont="1" applyBorder="1"/>
    <xf numFmtId="0" fontId="4" fillId="0" borderId="50" xfId="0" applyFont="1" applyBorder="1" applyAlignment="1">
      <alignment horizontal="left"/>
    </xf>
    <xf numFmtId="2" fontId="5" fillId="0" borderId="49" xfId="0" applyNumberFormat="1" applyFont="1" applyBorder="1"/>
    <xf numFmtId="2" fontId="3" fillId="3" borderId="51" xfId="0" applyNumberFormat="1" applyFont="1" applyFill="1" applyBorder="1"/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10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2" fontId="4" fillId="0" borderId="45" xfId="0" applyNumberFormat="1" applyFont="1" applyBorder="1" applyAlignment="1">
      <alignment horizontal="center"/>
    </xf>
    <xf numFmtId="2" fontId="16" fillId="0" borderId="46" xfId="0" applyNumberFormat="1" applyFont="1" applyBorder="1" applyAlignment="1">
      <alignment horizontal="center" vertical="center"/>
    </xf>
    <xf numFmtId="0" fontId="10" fillId="0" borderId="39" xfId="0" applyFont="1" applyBorder="1" applyAlignment="1">
      <alignment horizontal="left" vertical="center"/>
    </xf>
    <xf numFmtId="0" fontId="10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2" fontId="13" fillId="0" borderId="52" xfId="0" applyNumberFormat="1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0" fontId="9" fillId="0" borderId="39" xfId="0" applyFont="1" applyBorder="1" applyAlignment="1">
      <alignment vertical="center"/>
    </xf>
    <xf numFmtId="0" fontId="16" fillId="0" borderId="55" xfId="0" applyFont="1" applyBorder="1" applyAlignment="1">
      <alignment vertical="center"/>
    </xf>
    <xf numFmtId="0" fontId="0" fillId="0" borderId="56" xfId="0" applyBorder="1"/>
    <xf numFmtId="0" fontId="0" fillId="4" borderId="0" xfId="0" applyFill="1"/>
    <xf numFmtId="0" fontId="17" fillId="4" borderId="57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8" fillId="4" borderId="57" xfId="0" applyFont="1" applyFill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0" fillId="0" borderId="10" xfId="0" applyBorder="1"/>
    <xf numFmtId="0" fontId="18" fillId="4" borderId="58" xfId="0" applyFont="1" applyFill="1" applyBorder="1" applyAlignment="1">
      <alignment horizontal="center"/>
    </xf>
    <xf numFmtId="0" fontId="19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14</xdr:col>
      <xdr:colOff>134617</xdr:colOff>
      <xdr:row>36</xdr:row>
      <xdr:rowOff>114475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1AB3B-5A13-4A69-BFDF-3EA688B37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0"/>
          <a:ext cx="9078592" cy="12574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756365\AppData\Local\Microsoft\Windows\Temporary%20Internet%20Files\Content.Outlook\2FA3TG87\Ryder%20Locos%20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Alon"/>
      <sheetName val="Prieto"/>
      <sheetName val="Bugo"/>
      <sheetName val="Jaime"/>
      <sheetName val="Bejar"/>
      <sheetName val="Niko"/>
      <sheetName val="Dore"/>
      <sheetName val="Blasfi"/>
      <sheetName val="Cas"/>
      <sheetName val="Merello"/>
      <sheetName val="Agus"/>
      <sheetName val="Hcp juego"/>
      <sheetName val="Ev Hcp"/>
    </sheetNames>
    <sheetDataSet>
      <sheetData sheetId="0"/>
      <sheetData sheetId="1">
        <row r="16">
          <cell r="H16">
            <v>0.25</v>
          </cell>
        </row>
      </sheetData>
      <sheetData sheetId="2"/>
      <sheetData sheetId="3">
        <row r="16">
          <cell r="H16">
            <v>0.25</v>
          </cell>
        </row>
      </sheetData>
      <sheetData sheetId="4"/>
      <sheetData sheetId="5">
        <row r="15">
          <cell r="N15">
            <v>0</v>
          </cell>
        </row>
      </sheetData>
      <sheetData sheetId="6">
        <row r="15">
          <cell r="N15">
            <v>0</v>
          </cell>
        </row>
      </sheetData>
      <sheetData sheetId="7">
        <row r="17">
          <cell r="H17">
            <v>0.25</v>
          </cell>
        </row>
      </sheetData>
      <sheetData sheetId="8"/>
      <sheetData sheetId="9">
        <row r="16">
          <cell r="H16">
            <v>0.25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EAFC-31D0-4459-94F0-C84467996AAD}">
  <dimension ref="B4:R25"/>
  <sheetViews>
    <sheetView tabSelected="1" workbookViewId="0">
      <selection activeCell="H18" sqref="H18"/>
    </sheetView>
  </sheetViews>
  <sheetFormatPr defaultRowHeight="15" x14ac:dyDescent="0.25"/>
  <cols>
    <col min="2" max="2" width="5.28515625" bestFit="1" customWidth="1"/>
    <col min="3" max="3" width="9.5703125" bestFit="1" customWidth="1"/>
    <col min="4" max="4" width="17.85546875" bestFit="1" customWidth="1"/>
    <col min="5" max="5" width="16.5703125" bestFit="1" customWidth="1"/>
    <col min="6" max="6" width="5" bestFit="1" customWidth="1"/>
    <col min="7" max="7" width="11" bestFit="1" customWidth="1"/>
    <col min="8" max="9" width="11.5703125" bestFit="1" customWidth="1"/>
    <col min="15" max="15" width="13.85546875" bestFit="1" customWidth="1"/>
  </cols>
  <sheetData>
    <row r="4" spans="2:18" x14ac:dyDescent="0.25">
      <c r="B4" s="164"/>
      <c r="C4" s="164"/>
      <c r="D4" s="164"/>
      <c r="E4" s="164"/>
      <c r="F4" s="164"/>
      <c r="G4" s="164"/>
      <c r="H4" s="164"/>
    </row>
    <row r="5" spans="2:18" x14ac:dyDescent="0.25">
      <c r="B5" s="165" t="s">
        <v>247</v>
      </c>
      <c r="C5" s="165" t="s">
        <v>7</v>
      </c>
      <c r="D5" s="165" t="s">
        <v>248</v>
      </c>
      <c r="E5" s="165" t="s">
        <v>249</v>
      </c>
      <c r="F5" s="165" t="s">
        <v>250</v>
      </c>
      <c r="G5" s="165" t="s">
        <v>251</v>
      </c>
      <c r="H5" s="165" t="s">
        <v>252</v>
      </c>
      <c r="O5" s="166" t="s">
        <v>248</v>
      </c>
      <c r="P5" t="s">
        <v>253</v>
      </c>
      <c r="Q5">
        <v>2025</v>
      </c>
      <c r="R5" t="s">
        <v>254</v>
      </c>
    </row>
    <row r="6" spans="2:18" x14ac:dyDescent="0.25">
      <c r="B6" s="167" t="s">
        <v>255</v>
      </c>
      <c r="C6" s="167" t="s">
        <v>256</v>
      </c>
      <c r="D6" s="167" t="s">
        <v>257</v>
      </c>
      <c r="E6" s="167" t="s">
        <v>258</v>
      </c>
      <c r="F6" s="167">
        <v>12.1</v>
      </c>
      <c r="G6" s="167">
        <v>15</v>
      </c>
      <c r="H6" s="167" t="s">
        <v>259</v>
      </c>
      <c r="O6" s="168" t="s">
        <v>257</v>
      </c>
      <c r="P6">
        <v>12.1</v>
      </c>
      <c r="Q6" s="168">
        <v>11.1</v>
      </c>
      <c r="R6" s="169">
        <f>+P6-Q6</f>
        <v>1</v>
      </c>
    </row>
    <row r="7" spans="2:18" x14ac:dyDescent="0.25">
      <c r="B7" s="167" t="s">
        <v>255</v>
      </c>
      <c r="C7" s="167" t="s">
        <v>86</v>
      </c>
      <c r="D7" s="167" t="s">
        <v>126</v>
      </c>
      <c r="E7" s="167" t="s">
        <v>260</v>
      </c>
      <c r="F7" s="167">
        <v>14.6</v>
      </c>
      <c r="G7" s="167">
        <v>18</v>
      </c>
      <c r="H7" s="167" t="s">
        <v>261</v>
      </c>
      <c r="O7" s="168" t="s">
        <v>126</v>
      </c>
      <c r="P7">
        <v>14.6</v>
      </c>
      <c r="Q7" s="168">
        <v>15.7</v>
      </c>
      <c r="R7" s="169">
        <f t="shared" ref="R7:R25" si="0">+P7-Q7</f>
        <v>-1.0999999999999996</v>
      </c>
    </row>
    <row r="8" spans="2:18" x14ac:dyDescent="0.25">
      <c r="B8" s="167" t="s">
        <v>255</v>
      </c>
      <c r="C8" s="167" t="s">
        <v>262</v>
      </c>
      <c r="D8" s="167" t="s">
        <v>263</v>
      </c>
      <c r="E8" s="167" t="s">
        <v>264</v>
      </c>
      <c r="F8" s="167">
        <v>8.6999999999999993</v>
      </c>
      <c r="G8" s="167">
        <v>11</v>
      </c>
      <c r="H8" s="167" t="s">
        <v>265</v>
      </c>
      <c r="O8" s="168" t="s">
        <v>263</v>
      </c>
      <c r="P8">
        <v>8.6999999999999993</v>
      </c>
      <c r="Q8" s="168">
        <v>9.5</v>
      </c>
      <c r="R8" s="169">
        <f t="shared" si="0"/>
        <v>-0.80000000000000071</v>
      </c>
    </row>
    <row r="9" spans="2:18" x14ac:dyDescent="0.25">
      <c r="B9" s="167" t="s">
        <v>255</v>
      </c>
      <c r="C9" s="167" t="s">
        <v>266</v>
      </c>
      <c r="D9" s="167" t="s">
        <v>267</v>
      </c>
      <c r="E9" s="167" t="s">
        <v>263</v>
      </c>
      <c r="F9" s="167">
        <v>9.1</v>
      </c>
      <c r="G9" s="167">
        <v>11</v>
      </c>
      <c r="H9" s="167" t="s">
        <v>268</v>
      </c>
      <c r="O9" s="168" t="s">
        <v>267</v>
      </c>
      <c r="P9">
        <v>9.1</v>
      </c>
      <c r="Q9" s="168">
        <v>10</v>
      </c>
      <c r="R9" s="169">
        <f t="shared" si="0"/>
        <v>-0.90000000000000036</v>
      </c>
    </row>
    <row r="10" spans="2:18" x14ac:dyDescent="0.25">
      <c r="B10" s="167" t="s">
        <v>255</v>
      </c>
      <c r="C10" s="167" t="s">
        <v>269</v>
      </c>
      <c r="D10" s="167" t="s">
        <v>270</v>
      </c>
      <c r="E10" s="167" t="s">
        <v>271</v>
      </c>
      <c r="F10" s="165">
        <v>23.6</v>
      </c>
      <c r="G10" s="167">
        <v>28</v>
      </c>
      <c r="H10" s="167" t="s">
        <v>272</v>
      </c>
      <c r="O10" s="168" t="s">
        <v>273</v>
      </c>
      <c r="P10">
        <v>11.4</v>
      </c>
      <c r="Q10" s="168">
        <v>11.4</v>
      </c>
      <c r="R10" s="169">
        <f t="shared" si="0"/>
        <v>0</v>
      </c>
    </row>
    <row r="11" spans="2:18" x14ac:dyDescent="0.25">
      <c r="B11" s="167" t="s">
        <v>255</v>
      </c>
      <c r="C11" s="167" t="s">
        <v>274</v>
      </c>
      <c r="D11" s="167" t="s">
        <v>275</v>
      </c>
      <c r="E11" s="167" t="s">
        <v>276</v>
      </c>
      <c r="F11" s="167">
        <v>6.8</v>
      </c>
      <c r="G11" s="167">
        <v>9</v>
      </c>
      <c r="H11" s="167" t="s">
        <v>277</v>
      </c>
      <c r="O11" s="168" t="s">
        <v>278</v>
      </c>
      <c r="P11">
        <v>11.5</v>
      </c>
      <c r="Q11" s="168">
        <v>10.9</v>
      </c>
      <c r="R11" s="169">
        <f t="shared" si="0"/>
        <v>0.59999999999999964</v>
      </c>
    </row>
    <row r="12" spans="2:18" x14ac:dyDescent="0.25">
      <c r="B12" s="167" t="s">
        <v>279</v>
      </c>
      <c r="C12" s="167" t="s">
        <v>35</v>
      </c>
      <c r="D12" s="167" t="s">
        <v>273</v>
      </c>
      <c r="E12" s="167" t="s">
        <v>280</v>
      </c>
      <c r="F12" s="167">
        <v>11.4</v>
      </c>
      <c r="G12" s="170">
        <v>14</v>
      </c>
      <c r="H12" s="167" t="s">
        <v>281</v>
      </c>
      <c r="O12" s="168" t="s">
        <v>282</v>
      </c>
      <c r="P12">
        <v>23.7</v>
      </c>
      <c r="Q12" s="168">
        <v>23.7</v>
      </c>
      <c r="R12" s="169">
        <f t="shared" si="0"/>
        <v>0</v>
      </c>
    </row>
    <row r="13" spans="2:18" x14ac:dyDescent="0.25">
      <c r="B13" s="167" t="s">
        <v>279</v>
      </c>
      <c r="C13" s="167" t="s">
        <v>283</v>
      </c>
      <c r="D13" s="167" t="s">
        <v>278</v>
      </c>
      <c r="E13" s="167" t="s">
        <v>284</v>
      </c>
      <c r="F13" s="167">
        <v>11.5</v>
      </c>
      <c r="G13" s="167">
        <v>14</v>
      </c>
      <c r="H13" s="167" t="s">
        <v>285</v>
      </c>
      <c r="O13" s="168" t="s">
        <v>171</v>
      </c>
      <c r="P13">
        <v>26.9</v>
      </c>
      <c r="Q13" s="168">
        <v>25.2</v>
      </c>
      <c r="R13" s="169">
        <f t="shared" si="0"/>
        <v>1.6999999999999993</v>
      </c>
    </row>
    <row r="14" spans="2:18" x14ac:dyDescent="0.25">
      <c r="B14" s="167" t="s">
        <v>279</v>
      </c>
      <c r="C14" s="167" t="s">
        <v>71</v>
      </c>
      <c r="D14" s="167" t="s">
        <v>282</v>
      </c>
      <c r="E14" s="167" t="s">
        <v>286</v>
      </c>
      <c r="F14" s="167">
        <v>23.7</v>
      </c>
      <c r="G14" s="167">
        <v>28</v>
      </c>
      <c r="H14" s="167">
        <v>1119187569</v>
      </c>
      <c r="O14" s="168" t="s">
        <v>28</v>
      </c>
      <c r="P14">
        <v>15.7</v>
      </c>
      <c r="Q14" s="168">
        <v>15.1</v>
      </c>
      <c r="R14" s="169">
        <f t="shared" si="0"/>
        <v>0.59999999999999964</v>
      </c>
    </row>
    <row r="15" spans="2:18" x14ac:dyDescent="0.25">
      <c r="B15" s="167" t="s">
        <v>279</v>
      </c>
      <c r="C15" s="167" t="s">
        <v>287</v>
      </c>
      <c r="D15" s="167" t="s">
        <v>171</v>
      </c>
      <c r="E15" s="167" t="s">
        <v>288</v>
      </c>
      <c r="F15" s="167">
        <v>26.9</v>
      </c>
      <c r="G15" s="167">
        <v>32</v>
      </c>
      <c r="H15" s="171" t="s">
        <v>289</v>
      </c>
      <c r="O15" s="168" t="s">
        <v>290</v>
      </c>
      <c r="P15">
        <v>9.4</v>
      </c>
      <c r="Q15" s="168">
        <v>8.1999999999999993</v>
      </c>
      <c r="R15" s="169">
        <f t="shared" si="0"/>
        <v>1.2000000000000011</v>
      </c>
    </row>
    <row r="16" spans="2:18" x14ac:dyDescent="0.25">
      <c r="B16" s="167" t="s">
        <v>279</v>
      </c>
      <c r="C16" s="167" t="s">
        <v>291</v>
      </c>
      <c r="D16" s="167" t="s">
        <v>290</v>
      </c>
      <c r="E16" s="167" t="s">
        <v>292</v>
      </c>
      <c r="F16" s="167">
        <v>9.4</v>
      </c>
      <c r="G16" s="167">
        <v>12</v>
      </c>
      <c r="H16" s="167" t="s">
        <v>293</v>
      </c>
      <c r="O16" s="168" t="s">
        <v>294</v>
      </c>
      <c r="P16">
        <v>12.2</v>
      </c>
      <c r="Q16" s="168"/>
      <c r="R16" s="169">
        <f t="shared" si="0"/>
        <v>12.2</v>
      </c>
    </row>
    <row r="17" spans="2:18" x14ac:dyDescent="0.25">
      <c r="B17" s="167" t="s">
        <v>255</v>
      </c>
      <c r="C17" s="167" t="s">
        <v>295</v>
      </c>
      <c r="D17" s="167" t="s">
        <v>296</v>
      </c>
      <c r="E17" s="167"/>
      <c r="F17" s="167">
        <v>16.399999999999999</v>
      </c>
      <c r="G17" s="167">
        <v>20</v>
      </c>
      <c r="H17" s="167" t="s">
        <v>297</v>
      </c>
      <c r="O17" s="168" t="s">
        <v>79</v>
      </c>
      <c r="P17">
        <v>16.399999999999999</v>
      </c>
      <c r="Q17" s="168"/>
      <c r="R17" s="169">
        <f t="shared" si="0"/>
        <v>16.399999999999999</v>
      </c>
    </row>
    <row r="18" spans="2:18" x14ac:dyDescent="0.25">
      <c r="B18" s="167" t="s">
        <v>279</v>
      </c>
      <c r="C18" s="167" t="s">
        <v>298</v>
      </c>
      <c r="D18" s="167" t="s">
        <v>28</v>
      </c>
      <c r="E18" s="167"/>
      <c r="F18" s="167">
        <v>15.7</v>
      </c>
      <c r="G18" s="167">
        <v>19</v>
      </c>
      <c r="H18" s="167" t="s">
        <v>299</v>
      </c>
      <c r="O18" s="168" t="s">
        <v>41</v>
      </c>
      <c r="P18">
        <v>36</v>
      </c>
      <c r="Q18" s="168">
        <v>36</v>
      </c>
      <c r="R18" s="169">
        <f t="shared" si="0"/>
        <v>0</v>
      </c>
    </row>
    <row r="19" spans="2:18" x14ac:dyDescent="0.25">
      <c r="B19" s="167" t="s">
        <v>255</v>
      </c>
      <c r="C19" s="167" t="s">
        <v>86</v>
      </c>
      <c r="D19" s="167" t="s">
        <v>300</v>
      </c>
      <c r="E19" s="167" t="s">
        <v>301</v>
      </c>
      <c r="F19" s="167">
        <v>18.8</v>
      </c>
      <c r="G19" s="167">
        <v>23</v>
      </c>
      <c r="H19" s="167" t="s">
        <v>302</v>
      </c>
      <c r="O19" s="168" t="s">
        <v>270</v>
      </c>
      <c r="Q19" s="168">
        <v>23.7</v>
      </c>
      <c r="R19" s="169">
        <f t="shared" si="0"/>
        <v>-23.7</v>
      </c>
    </row>
    <row r="20" spans="2:18" x14ac:dyDescent="0.25">
      <c r="B20" s="167" t="s">
        <v>255</v>
      </c>
      <c r="C20" s="167" t="s">
        <v>303</v>
      </c>
      <c r="D20" s="167" t="s">
        <v>41</v>
      </c>
      <c r="E20" s="167"/>
      <c r="F20" s="167">
        <v>36</v>
      </c>
      <c r="G20" s="167">
        <v>43</v>
      </c>
      <c r="H20" s="167">
        <v>7705819953</v>
      </c>
      <c r="O20" s="168" t="s">
        <v>300</v>
      </c>
      <c r="P20">
        <v>18.8</v>
      </c>
      <c r="Q20" s="168">
        <v>17.600000000000001</v>
      </c>
      <c r="R20" s="169">
        <f t="shared" si="0"/>
        <v>1.1999999999999993</v>
      </c>
    </row>
    <row r="21" spans="2:18" x14ac:dyDescent="0.25">
      <c r="B21" s="167" t="s">
        <v>279</v>
      </c>
      <c r="C21" s="167" t="s">
        <v>304</v>
      </c>
      <c r="D21" s="167" t="s">
        <v>294</v>
      </c>
      <c r="E21" s="167"/>
      <c r="F21" s="167">
        <v>12.2</v>
      </c>
      <c r="G21" s="167">
        <v>15</v>
      </c>
      <c r="H21" s="171" t="s">
        <v>305</v>
      </c>
      <c r="O21" s="168" t="s">
        <v>275</v>
      </c>
      <c r="P21">
        <v>6.8</v>
      </c>
      <c r="Q21" s="168">
        <v>7.1</v>
      </c>
      <c r="R21" s="169">
        <f t="shared" si="0"/>
        <v>-0.29999999999999982</v>
      </c>
    </row>
    <row r="22" spans="2:18" x14ac:dyDescent="0.25">
      <c r="B22" s="167" t="s">
        <v>255</v>
      </c>
      <c r="C22" s="167" t="s">
        <v>262</v>
      </c>
      <c r="D22" s="167" t="s">
        <v>43</v>
      </c>
      <c r="E22" s="167" t="s">
        <v>306</v>
      </c>
      <c r="F22" s="167">
        <v>11.4</v>
      </c>
      <c r="G22" s="167">
        <v>14</v>
      </c>
      <c r="H22" s="167" t="s">
        <v>307</v>
      </c>
      <c r="O22" s="168" t="s">
        <v>43</v>
      </c>
      <c r="P22">
        <v>11.4</v>
      </c>
      <c r="Q22" s="168">
        <v>10.5</v>
      </c>
      <c r="R22" s="169">
        <f t="shared" si="0"/>
        <v>0.90000000000000036</v>
      </c>
    </row>
    <row r="23" spans="2:18" x14ac:dyDescent="0.25">
      <c r="B23" s="167" t="s">
        <v>279</v>
      </c>
      <c r="C23" s="167" t="s">
        <v>287</v>
      </c>
      <c r="D23" s="167" t="s">
        <v>308</v>
      </c>
      <c r="E23" s="167" t="s">
        <v>309</v>
      </c>
      <c r="F23" s="167">
        <v>21.7</v>
      </c>
      <c r="G23" s="167">
        <v>26</v>
      </c>
      <c r="H23" s="167" t="s">
        <v>310</v>
      </c>
      <c r="O23" s="168" t="s">
        <v>308</v>
      </c>
      <c r="P23">
        <v>21.7</v>
      </c>
      <c r="Q23" s="168">
        <v>21.1</v>
      </c>
      <c r="R23" s="169">
        <f t="shared" si="0"/>
        <v>0.59999999999999787</v>
      </c>
    </row>
    <row r="24" spans="2:18" x14ac:dyDescent="0.25">
      <c r="B24" s="167" t="s">
        <v>279</v>
      </c>
      <c r="C24" s="167" t="s">
        <v>86</v>
      </c>
      <c r="D24" s="167" t="s">
        <v>311</v>
      </c>
      <c r="E24" s="167" t="s">
        <v>312</v>
      </c>
      <c r="F24" s="167">
        <v>9</v>
      </c>
      <c r="G24" s="167">
        <v>11</v>
      </c>
      <c r="H24" s="167" t="s">
        <v>313</v>
      </c>
      <c r="O24" s="168" t="s">
        <v>311</v>
      </c>
      <c r="P24">
        <v>9</v>
      </c>
      <c r="Q24" s="168">
        <v>10</v>
      </c>
      <c r="R24" s="169">
        <f t="shared" si="0"/>
        <v>-1</v>
      </c>
    </row>
    <row r="25" spans="2:18" x14ac:dyDescent="0.25">
      <c r="B25" s="167" t="s">
        <v>279</v>
      </c>
      <c r="C25" s="167" t="s">
        <v>314</v>
      </c>
      <c r="D25" s="167" t="s">
        <v>315</v>
      </c>
      <c r="E25" s="167" t="s">
        <v>316</v>
      </c>
      <c r="F25" s="167">
        <v>16.100000000000001</v>
      </c>
      <c r="G25" s="167">
        <v>19</v>
      </c>
      <c r="H25" s="167">
        <v>7704811529</v>
      </c>
      <c r="O25" s="168" t="s">
        <v>315</v>
      </c>
      <c r="P25">
        <v>16.100000000000001</v>
      </c>
      <c r="Q25" s="168">
        <v>15.5</v>
      </c>
      <c r="R25" s="169">
        <f t="shared" si="0"/>
        <v>0.60000000000000142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29"/>
  <sheetViews>
    <sheetView zoomScaleNormal="100" workbookViewId="0">
      <selection activeCell="J4" sqref="J4"/>
    </sheetView>
  </sheetViews>
  <sheetFormatPr defaultRowHeight="15" x14ac:dyDescent="0.25"/>
  <cols>
    <col min="2" max="2" width="48.140625" bestFit="1" customWidth="1"/>
    <col min="7" max="15" width="16.7109375" customWidth="1"/>
  </cols>
  <sheetData>
    <row r="1" spans="2:14" ht="16.5" thickTop="1" thickBot="1" x14ac:dyDescent="0.3">
      <c r="I1" s="86"/>
      <c r="J1" s="40" t="s">
        <v>17</v>
      </c>
      <c r="K1" s="76"/>
      <c r="L1" s="40"/>
      <c r="M1" s="40" t="s">
        <v>2</v>
      </c>
      <c r="N1" s="83"/>
    </row>
    <row r="2" spans="2:14" ht="16.5" thickTop="1" thickBot="1" x14ac:dyDescent="0.3">
      <c r="B2" s="134" t="s">
        <v>0</v>
      </c>
      <c r="C2" s="135" t="s">
        <v>1</v>
      </c>
      <c r="D2" s="136" t="s">
        <v>34</v>
      </c>
      <c r="E2" s="92"/>
      <c r="F2" s="89"/>
      <c r="G2" s="74" t="s">
        <v>92</v>
      </c>
      <c r="H2" s="74" t="s">
        <v>93</v>
      </c>
      <c r="I2" s="74" t="s">
        <v>94</v>
      </c>
      <c r="J2" s="74" t="s">
        <v>95</v>
      </c>
      <c r="K2" s="77" t="s">
        <v>15</v>
      </c>
      <c r="L2" s="74" t="s">
        <v>3</v>
      </c>
      <c r="M2" s="74" t="s">
        <v>23</v>
      </c>
      <c r="N2" s="75" t="s">
        <v>5</v>
      </c>
    </row>
    <row r="3" spans="2:14" ht="15.75" thickBot="1" x14ac:dyDescent="0.3">
      <c r="B3" s="137"/>
      <c r="C3" s="68">
        <v>8</v>
      </c>
      <c r="D3" s="138">
        <v>4</v>
      </c>
      <c r="E3" s="68"/>
      <c r="F3" s="69"/>
      <c r="G3" s="9" t="s">
        <v>28</v>
      </c>
      <c r="H3" s="41">
        <f>Herrero!$E$7</f>
        <v>5</v>
      </c>
      <c r="I3" s="41">
        <f>Herrero!$E$8</f>
        <v>10</v>
      </c>
      <c r="J3" s="42">
        <f>Herrero!$E$9</f>
        <v>6.75</v>
      </c>
      <c r="K3" s="78">
        <f t="shared" ref="K3:K13" si="0">+J3/I3</f>
        <v>0.67500000000000004</v>
      </c>
      <c r="L3" s="41">
        <f>Herrero!$D13</f>
        <v>7</v>
      </c>
      <c r="M3" s="41">
        <f>Herrero!$D14</f>
        <v>6</v>
      </c>
      <c r="N3" s="84">
        <f>Herrero!$D15</f>
        <v>2</v>
      </c>
    </row>
    <row r="4" spans="2:14" x14ac:dyDescent="0.25">
      <c r="B4" s="110"/>
      <c r="C4" s="118"/>
      <c r="D4" s="119"/>
      <c r="E4" s="70"/>
      <c r="F4" s="88"/>
      <c r="G4" s="9" t="s">
        <v>86</v>
      </c>
      <c r="H4" s="41">
        <f>Juan!$E$5</f>
        <v>13</v>
      </c>
      <c r="I4" s="41">
        <f>Juan!$E$6</f>
        <v>26</v>
      </c>
      <c r="J4" s="42">
        <f>Juan!$E$7</f>
        <v>16.5</v>
      </c>
      <c r="K4" s="78">
        <f t="shared" si="0"/>
        <v>0.63461538461538458</v>
      </c>
      <c r="L4" s="41">
        <f>Juan!$D11</f>
        <v>21</v>
      </c>
      <c r="M4" s="41">
        <f>Juan!$D12</f>
        <v>5</v>
      </c>
      <c r="N4" s="85">
        <f>Juan!$D13</f>
        <v>13</v>
      </c>
    </row>
    <row r="5" spans="2:14" x14ac:dyDescent="0.25">
      <c r="B5" s="113"/>
      <c r="D5" s="120"/>
      <c r="F5" s="12"/>
      <c r="G5" s="9" t="s">
        <v>35</v>
      </c>
      <c r="H5" s="41">
        <f>Jacobo!$E$5</f>
        <v>13</v>
      </c>
      <c r="I5" s="41">
        <f>Jacobo!$E$6</f>
        <v>26</v>
      </c>
      <c r="J5" s="42">
        <f>Jacobo!$E$7</f>
        <v>14.75</v>
      </c>
      <c r="K5" s="78">
        <f t="shared" si="0"/>
        <v>0.56730769230769229</v>
      </c>
      <c r="L5" s="41">
        <f>Jacobo!$D$11</f>
        <v>18</v>
      </c>
      <c r="M5" s="41">
        <f>Jacobo!$D$12</f>
        <v>9</v>
      </c>
      <c r="N5" s="85">
        <f>Jacobo!$D$13</f>
        <v>12</v>
      </c>
    </row>
    <row r="6" spans="2:14" x14ac:dyDescent="0.25">
      <c r="B6" s="121" t="s">
        <v>96</v>
      </c>
      <c r="C6" s="150"/>
      <c r="D6" s="122"/>
      <c r="E6" s="71"/>
      <c r="F6" s="44"/>
      <c r="G6" s="9" t="s">
        <v>30</v>
      </c>
      <c r="H6" s="41">
        <f>Jido!$E$5</f>
        <v>13</v>
      </c>
      <c r="I6" s="41">
        <f>Jido!$E$6</f>
        <v>26</v>
      </c>
      <c r="J6" s="42">
        <f>Jido!$E$7</f>
        <v>14.25</v>
      </c>
      <c r="K6" s="78">
        <f t="shared" si="0"/>
        <v>0.54807692307692313</v>
      </c>
      <c r="L6" s="41">
        <f>Jido!$D$11</f>
        <v>18</v>
      </c>
      <c r="M6" s="41">
        <f>Jido!$D$12</f>
        <v>5</v>
      </c>
      <c r="N6" s="85">
        <f>Jido!$D$13</f>
        <v>16</v>
      </c>
    </row>
    <row r="7" spans="2:14" x14ac:dyDescent="0.25">
      <c r="B7" s="123" t="s">
        <v>97</v>
      </c>
      <c r="C7" s="47">
        <v>3.25</v>
      </c>
      <c r="D7" s="124">
        <v>5.75</v>
      </c>
      <c r="E7" s="64"/>
      <c r="F7" s="49"/>
      <c r="G7" s="9" t="s">
        <v>171</v>
      </c>
      <c r="H7" s="41">
        <f>Gurpegui!$E$7</f>
        <v>5</v>
      </c>
      <c r="I7" s="41">
        <f>Gurpegui!$E$8</f>
        <v>10</v>
      </c>
      <c r="J7" s="42">
        <f>Gurpegui!$E$9</f>
        <v>6.25</v>
      </c>
      <c r="K7" s="78">
        <f t="shared" si="0"/>
        <v>0.625</v>
      </c>
      <c r="L7" s="41">
        <f>Gurpegui!$D$13</f>
        <v>10</v>
      </c>
      <c r="M7" s="41">
        <f>Gurpegui!$E$14</f>
        <v>6.6666666666666666E-2</v>
      </c>
      <c r="N7" s="85">
        <f>Gurpegui!D15</f>
        <v>4</v>
      </c>
    </row>
    <row r="8" spans="2:14" x14ac:dyDescent="0.25">
      <c r="B8" s="121" t="s">
        <v>98</v>
      </c>
      <c r="C8" s="47"/>
      <c r="D8" s="125"/>
      <c r="E8" s="72"/>
      <c r="F8" s="48"/>
      <c r="G8" s="9" t="s">
        <v>31</v>
      </c>
      <c r="H8" s="41">
        <f>Pedro!$E$5</f>
        <v>12</v>
      </c>
      <c r="I8" s="41">
        <f>Pedro!$E$6</f>
        <v>24</v>
      </c>
      <c r="J8" s="42">
        <f>Pedro!$E$7</f>
        <v>11.75</v>
      </c>
      <c r="K8" s="78">
        <f t="shared" si="0"/>
        <v>0.48958333333333331</v>
      </c>
      <c r="L8" s="41">
        <f>Pedro!$D11</f>
        <v>15</v>
      </c>
      <c r="M8" s="41">
        <f>Pedro!$D12</f>
        <v>7</v>
      </c>
      <c r="N8" s="85">
        <f>Pedro!$D13</f>
        <v>17</v>
      </c>
    </row>
    <row r="9" spans="2:14" x14ac:dyDescent="0.25">
      <c r="B9" s="123" t="s">
        <v>99</v>
      </c>
      <c r="C9" s="47">
        <v>5</v>
      </c>
      <c r="D9" s="124">
        <v>7</v>
      </c>
      <c r="E9" s="64"/>
      <c r="F9" s="49"/>
      <c r="G9" t="s">
        <v>26</v>
      </c>
      <c r="H9" s="41">
        <f>Fertxo!$E$6</f>
        <v>12</v>
      </c>
      <c r="I9" s="41">
        <f>Fertxo!$E$7</f>
        <v>24</v>
      </c>
      <c r="J9" s="42">
        <f>Fertxo!$E$8</f>
        <v>10</v>
      </c>
      <c r="K9" s="78">
        <f t="shared" si="0"/>
        <v>0.41666666666666669</v>
      </c>
      <c r="L9" s="41">
        <f>Fertxo!$D12</f>
        <v>11</v>
      </c>
      <c r="M9" s="41">
        <f>Fertxo!$D13</f>
        <v>8</v>
      </c>
      <c r="N9" s="85">
        <f>Fertxo!$D14</f>
        <v>17</v>
      </c>
    </row>
    <row r="10" spans="2:14" x14ac:dyDescent="0.25">
      <c r="B10" s="121" t="s">
        <v>100</v>
      </c>
      <c r="C10" s="151"/>
      <c r="D10" s="126"/>
      <c r="E10" s="73"/>
      <c r="F10" s="87"/>
      <c r="G10" s="9" t="s">
        <v>85</v>
      </c>
      <c r="H10" s="41">
        <f>Marcos!$E$6</f>
        <v>12</v>
      </c>
      <c r="I10" s="41">
        <f>Marcos!$E$7</f>
        <v>24</v>
      </c>
      <c r="J10" s="42">
        <f>Marcos!$E$8</f>
        <v>9.5</v>
      </c>
      <c r="K10" s="78">
        <f t="shared" si="0"/>
        <v>0.39583333333333331</v>
      </c>
      <c r="L10" s="41">
        <f>Marcos!$D12</f>
        <v>10</v>
      </c>
      <c r="M10" s="41">
        <f>Marcos!$D13</f>
        <v>7</v>
      </c>
      <c r="N10" s="85">
        <f>Marcos!$D14</f>
        <v>18</v>
      </c>
    </row>
    <row r="11" spans="2:14" x14ac:dyDescent="0.25">
      <c r="B11" s="123" t="s">
        <v>101</v>
      </c>
      <c r="C11" s="64">
        <v>7</v>
      </c>
      <c r="D11" s="127">
        <v>5</v>
      </c>
      <c r="E11" s="47"/>
      <c r="F11" s="65"/>
      <c r="G11" s="9" t="s">
        <v>71</v>
      </c>
      <c r="H11" s="41">
        <f>Diego!$E$6</f>
        <v>12</v>
      </c>
      <c r="I11" s="41">
        <f>Diego!$E$7</f>
        <v>24</v>
      </c>
      <c r="J11" s="42">
        <f>Diego!$E$8</f>
        <v>11.5</v>
      </c>
      <c r="K11" s="78">
        <f t="shared" si="0"/>
        <v>0.47916666666666669</v>
      </c>
      <c r="L11" s="41">
        <f>Diego!$D12</f>
        <v>16</v>
      </c>
      <c r="M11" s="41">
        <f>Diego!$D13</f>
        <v>5</v>
      </c>
      <c r="N11" s="85">
        <f>Diego!$D14</f>
        <v>15</v>
      </c>
    </row>
    <row r="12" spans="2:14" x14ac:dyDescent="0.25">
      <c r="B12" s="121" t="s">
        <v>102</v>
      </c>
      <c r="C12" s="151"/>
      <c r="D12" s="126"/>
      <c r="E12" s="73"/>
      <c r="F12" s="87"/>
      <c r="G12" s="9" t="s">
        <v>166</v>
      </c>
      <c r="H12" s="41">
        <f>Medina!$E$7</f>
        <v>7</v>
      </c>
      <c r="I12" s="41">
        <f>Medina!$E$8</f>
        <v>14</v>
      </c>
      <c r="J12" s="42">
        <f>Medina!$E$9</f>
        <v>4.75</v>
      </c>
      <c r="K12" s="78">
        <f t="shared" si="0"/>
        <v>0.3392857142857143</v>
      </c>
      <c r="L12" s="41">
        <f>Medina!$D$13</f>
        <v>6</v>
      </c>
      <c r="M12" s="41">
        <f>Medina!$E$14</f>
        <v>0.05</v>
      </c>
      <c r="N12" s="85">
        <f>Medina!$E$15</f>
        <v>0.65</v>
      </c>
    </row>
    <row r="13" spans="2:14" ht="15.75" thickBot="1" x14ac:dyDescent="0.3">
      <c r="B13" s="123" t="s">
        <v>103</v>
      </c>
      <c r="C13" s="64">
        <v>7.75</v>
      </c>
      <c r="D13" s="127">
        <v>7.25</v>
      </c>
      <c r="E13" s="47"/>
      <c r="F13" s="65"/>
      <c r="G13" s="91" t="s">
        <v>49</v>
      </c>
      <c r="H13" s="81">
        <f>Nacho!$E$7</f>
        <v>11</v>
      </c>
      <c r="I13" s="81">
        <f>Nacho!$E$8</f>
        <v>22</v>
      </c>
      <c r="J13" s="94">
        <f>Nacho!$E$9</f>
        <v>5</v>
      </c>
      <c r="K13" s="82">
        <f t="shared" si="0"/>
        <v>0.22727272727272727</v>
      </c>
      <c r="L13" s="81">
        <f>Nacho!$D13</f>
        <v>6</v>
      </c>
      <c r="M13" s="81">
        <f>Nacho!$D14</f>
        <v>6</v>
      </c>
      <c r="N13" s="132">
        <f>Nacho!$D15</f>
        <v>21</v>
      </c>
    </row>
    <row r="14" spans="2:14" ht="15.75" thickTop="1" x14ac:dyDescent="0.25">
      <c r="B14" s="121" t="s">
        <v>104</v>
      </c>
      <c r="C14" s="151"/>
      <c r="D14" s="128"/>
      <c r="E14" s="59"/>
      <c r="F14" s="52"/>
      <c r="G14" s="9"/>
      <c r="H14" s="41"/>
      <c r="I14" s="42"/>
      <c r="J14" s="42"/>
      <c r="K14" s="43"/>
      <c r="L14" s="51"/>
      <c r="M14" s="51"/>
      <c r="N14" s="51"/>
    </row>
    <row r="15" spans="2:14" ht="15.75" thickBot="1" x14ac:dyDescent="0.3">
      <c r="B15" s="123" t="s">
        <v>105</v>
      </c>
      <c r="C15" s="64">
        <v>8</v>
      </c>
      <c r="D15" s="127">
        <v>7</v>
      </c>
      <c r="E15" s="47"/>
      <c r="F15" s="47"/>
      <c r="G15" s="9"/>
      <c r="H15" s="41"/>
      <c r="I15" s="42"/>
      <c r="J15" s="42"/>
      <c r="K15" s="43"/>
      <c r="L15" s="51"/>
      <c r="M15" s="51"/>
      <c r="N15" s="51"/>
    </row>
    <row r="16" spans="2:14" ht="15.75" thickTop="1" x14ac:dyDescent="0.25">
      <c r="B16" s="121" t="s">
        <v>106</v>
      </c>
      <c r="C16" s="151"/>
      <c r="D16" s="128"/>
      <c r="E16" s="59"/>
      <c r="F16" s="59"/>
      <c r="G16" s="80"/>
      <c r="H16" s="93" t="s">
        <v>242</v>
      </c>
      <c r="I16" s="54"/>
      <c r="J16" s="54"/>
      <c r="K16" s="55"/>
      <c r="L16" s="51"/>
      <c r="M16" s="51"/>
      <c r="N16" s="51"/>
    </row>
    <row r="17" spans="2:17" x14ac:dyDescent="0.25">
      <c r="B17" s="123" t="s">
        <v>107</v>
      </c>
      <c r="C17" s="64">
        <v>8</v>
      </c>
      <c r="D17" s="127">
        <v>7</v>
      </c>
      <c r="E17" s="47"/>
      <c r="F17" s="47"/>
      <c r="G17" s="80"/>
      <c r="H17" s="79" t="s">
        <v>243</v>
      </c>
      <c r="I17" s="46"/>
      <c r="K17" s="50">
        <f>+SUM(I19:K23)</f>
        <v>7.5</v>
      </c>
      <c r="L17" s="51"/>
      <c r="M17" s="51"/>
    </row>
    <row r="18" spans="2:17" ht="15.75" thickBot="1" x14ac:dyDescent="0.3">
      <c r="B18" s="121" t="s">
        <v>110</v>
      </c>
      <c r="C18" s="151"/>
      <c r="D18" s="128"/>
      <c r="E18" s="59"/>
      <c r="F18" s="59"/>
      <c r="G18" s="12"/>
      <c r="H18" s="11"/>
      <c r="I18" s="108" t="s">
        <v>18</v>
      </c>
      <c r="J18" s="108" t="s">
        <v>21</v>
      </c>
      <c r="K18" s="109" t="s">
        <v>108</v>
      </c>
      <c r="L18" s="106"/>
    </row>
    <row r="19" spans="2:17" x14ac:dyDescent="0.25">
      <c r="B19" s="123" t="s">
        <v>111</v>
      </c>
      <c r="C19" s="47">
        <v>7.25</v>
      </c>
      <c r="D19" s="124">
        <v>7.75</v>
      </c>
      <c r="E19" s="64"/>
      <c r="F19" s="64"/>
      <c r="H19" s="110" t="s">
        <v>244</v>
      </c>
      <c r="I19" s="111">
        <f>+Juan!H33</f>
        <v>0.5</v>
      </c>
      <c r="J19" s="111">
        <f>Juan!K33</f>
        <v>0.5</v>
      </c>
      <c r="K19" s="112">
        <f>+Juan!N33+Gurpegui!N29</f>
        <v>1</v>
      </c>
    </row>
    <row r="20" spans="2:17" x14ac:dyDescent="0.25">
      <c r="B20" s="121" t="s">
        <v>173</v>
      </c>
      <c r="C20" s="151"/>
      <c r="D20" s="128"/>
      <c r="E20" s="59"/>
      <c r="F20" s="59"/>
      <c r="H20" s="113" t="s">
        <v>203</v>
      </c>
      <c r="I20" s="59">
        <f>+Jacobo!H33</f>
        <v>0.5</v>
      </c>
      <c r="J20" s="59">
        <f>+Jacobo!K33</f>
        <v>0</v>
      </c>
      <c r="K20" s="114">
        <f>+Jacobo!N33+Jido!N23</f>
        <v>1.5</v>
      </c>
    </row>
    <row r="21" spans="2:17" x14ac:dyDescent="0.25">
      <c r="B21" s="129" t="s">
        <v>175</v>
      </c>
      <c r="C21" s="64">
        <v>10</v>
      </c>
      <c r="D21" s="128">
        <v>5</v>
      </c>
      <c r="E21" s="59"/>
      <c r="F21" s="59"/>
      <c r="H21" s="113" t="s">
        <v>245</v>
      </c>
      <c r="I21" s="59">
        <f>+Fertxo!H33</f>
        <v>0.25</v>
      </c>
      <c r="J21" s="59">
        <f>+Fertxo!K33</f>
        <v>0.25</v>
      </c>
      <c r="K21" s="114">
        <f>+Fertxo!N33+Nacho!N33</f>
        <v>0</v>
      </c>
    </row>
    <row r="22" spans="2:17" x14ac:dyDescent="0.25">
      <c r="B22" s="121" t="s">
        <v>174</v>
      </c>
      <c r="C22" s="151"/>
      <c r="D22" s="128"/>
      <c r="E22" s="59"/>
      <c r="F22" s="59"/>
      <c r="H22" s="113" t="s">
        <v>185</v>
      </c>
      <c r="I22" s="59">
        <f>+Diego!H33</f>
        <v>0.5</v>
      </c>
      <c r="J22" s="59">
        <f>+Diego!K33</f>
        <v>0.5</v>
      </c>
      <c r="K22" s="114">
        <f>+Diego!N33+Pedro!N33</f>
        <v>1</v>
      </c>
    </row>
    <row r="23" spans="2:17" ht="15.75" thickBot="1" x14ac:dyDescent="0.3">
      <c r="B23" s="129" t="s">
        <v>176</v>
      </c>
      <c r="C23" s="64">
        <v>10</v>
      </c>
      <c r="D23" s="130">
        <v>5</v>
      </c>
      <c r="E23" s="90"/>
      <c r="F23" s="90"/>
      <c r="H23" s="115" t="s">
        <v>246</v>
      </c>
      <c r="I23" s="116">
        <f>+Marcos!H33</f>
        <v>0</v>
      </c>
      <c r="J23" s="116">
        <f>+Marcos!K33</f>
        <v>0</v>
      </c>
      <c r="K23" s="117">
        <f>+Marcos!N33+Medina!N29</f>
        <v>1</v>
      </c>
    </row>
    <row r="24" spans="2:17" ht="15.75" thickBot="1" x14ac:dyDescent="0.3">
      <c r="B24" s="121" t="s">
        <v>186</v>
      </c>
      <c r="C24" s="151"/>
      <c r="D24" s="127"/>
      <c r="E24" s="47"/>
      <c r="F24" s="47"/>
      <c r="H24" s="41"/>
      <c r="I24" s="42"/>
      <c r="J24" s="42"/>
      <c r="K24" s="43"/>
      <c r="Q24" s="63"/>
    </row>
    <row r="25" spans="2:17" ht="15.75" thickTop="1" x14ac:dyDescent="0.25">
      <c r="B25" s="129" t="s">
        <v>187</v>
      </c>
      <c r="C25" s="107">
        <v>8.25</v>
      </c>
      <c r="D25" s="130">
        <v>6.75</v>
      </c>
      <c r="G25" s="12"/>
      <c r="H25" s="93" t="s">
        <v>217</v>
      </c>
      <c r="I25" s="54"/>
      <c r="J25" s="54"/>
      <c r="K25" s="55"/>
    </row>
    <row r="26" spans="2:17" x14ac:dyDescent="0.25">
      <c r="B26" s="121" t="s">
        <v>204</v>
      </c>
      <c r="C26" s="151"/>
      <c r="D26" s="127"/>
      <c r="G26" s="12"/>
      <c r="H26" s="79" t="s">
        <v>218</v>
      </c>
      <c r="I26" s="46"/>
      <c r="K26" s="50">
        <f>+SUM(I28:K32)</f>
        <v>8.5</v>
      </c>
    </row>
    <row r="27" spans="2:17" ht="15.75" thickBot="1" x14ac:dyDescent="0.3">
      <c r="B27" s="129" t="s">
        <v>205</v>
      </c>
      <c r="C27" s="107">
        <v>8</v>
      </c>
      <c r="D27" s="130">
        <v>7</v>
      </c>
      <c r="H27" s="11"/>
      <c r="I27" s="108" t="s">
        <v>18</v>
      </c>
      <c r="J27" s="108" t="s">
        <v>21</v>
      </c>
      <c r="K27" s="109" t="s">
        <v>108</v>
      </c>
    </row>
    <row r="28" spans="2:17" x14ac:dyDescent="0.25">
      <c r="B28" s="121" t="s">
        <v>217</v>
      </c>
      <c r="D28" s="120"/>
      <c r="H28" s="110" t="s">
        <v>181</v>
      </c>
      <c r="I28" s="111">
        <f>+Juan!H33</f>
        <v>0.5</v>
      </c>
      <c r="J28" s="111">
        <f>Juan!K33</f>
        <v>0.5</v>
      </c>
      <c r="K28" s="112">
        <f>+Juan!N33+Gurpegui!N29</f>
        <v>1</v>
      </c>
    </row>
    <row r="29" spans="2:17" x14ac:dyDescent="0.25">
      <c r="B29" s="129" t="s">
        <v>218</v>
      </c>
      <c r="C29" s="149">
        <v>5</v>
      </c>
      <c r="D29" s="124">
        <v>10</v>
      </c>
      <c r="H29" s="113" t="s">
        <v>200</v>
      </c>
      <c r="I29" s="59">
        <f>+Fertxo!H33</f>
        <v>0.25</v>
      </c>
      <c r="J29" s="59">
        <f>+Fertxo!K33</f>
        <v>0.25</v>
      </c>
      <c r="K29" s="114">
        <f>+Fertxo!N33+Nacho!N32</f>
        <v>0</v>
      </c>
    </row>
    <row r="30" spans="2:17" x14ac:dyDescent="0.25">
      <c r="B30" s="121" t="s">
        <v>242</v>
      </c>
      <c r="D30" s="120"/>
      <c r="H30" s="113" t="s">
        <v>230</v>
      </c>
      <c r="I30" s="59">
        <f>+Marcos!H33</f>
        <v>0</v>
      </c>
      <c r="J30" s="59">
        <f>+Marcos!K33</f>
        <v>0</v>
      </c>
      <c r="K30" s="114">
        <f>+Marcos!N33+Medina!N29</f>
        <v>1</v>
      </c>
      <c r="N30" s="133"/>
    </row>
    <row r="31" spans="2:17" ht="15.75" thickBot="1" x14ac:dyDescent="0.3">
      <c r="B31" s="131" t="s">
        <v>243</v>
      </c>
      <c r="C31" s="152">
        <v>7.5</v>
      </c>
      <c r="D31" s="153">
        <v>7.5</v>
      </c>
      <c r="H31" s="113" t="s">
        <v>185</v>
      </c>
      <c r="I31" s="59">
        <f>+Diego!H33</f>
        <v>0.5</v>
      </c>
      <c r="J31" s="59">
        <f>+Diego!K33</f>
        <v>0.5</v>
      </c>
      <c r="K31" s="114">
        <f>+Diego!N33+Pedro!N32</f>
        <v>2</v>
      </c>
      <c r="O31" s="133"/>
    </row>
    <row r="32" spans="2:17" ht="15.75" thickBot="1" x14ac:dyDescent="0.3">
      <c r="H32" s="115" t="s">
        <v>203</v>
      </c>
      <c r="I32" s="116">
        <f>+Jido!H33</f>
        <v>0.5</v>
      </c>
      <c r="J32" s="116">
        <f>+Jido!K33</f>
        <v>0</v>
      </c>
      <c r="K32" s="117">
        <f>+Jacobo!N33+Jido!N33</f>
        <v>1.5</v>
      </c>
    </row>
    <row r="33" spans="7:11" ht="15.75" thickBot="1" x14ac:dyDescent="0.3">
      <c r="H33" s="41"/>
      <c r="I33" s="42"/>
      <c r="J33" s="42"/>
      <c r="K33" s="43"/>
    </row>
    <row r="34" spans="7:11" ht="15.75" thickTop="1" x14ac:dyDescent="0.25">
      <c r="G34" s="12"/>
      <c r="H34" s="93" t="s">
        <v>204</v>
      </c>
      <c r="I34" s="54"/>
      <c r="J34" s="54"/>
      <c r="K34" s="55"/>
    </row>
    <row r="35" spans="7:11" x14ac:dyDescent="0.25">
      <c r="G35" s="12"/>
      <c r="H35" s="79" t="s">
        <v>205</v>
      </c>
      <c r="I35" s="46"/>
      <c r="K35" s="50">
        <f>+SUM(I37:K41)</f>
        <v>7</v>
      </c>
    </row>
    <row r="36" spans="7:11" ht="15.75" thickBot="1" x14ac:dyDescent="0.3">
      <c r="H36" s="11"/>
      <c r="I36" s="108" t="s">
        <v>18</v>
      </c>
      <c r="J36" s="108" t="s">
        <v>21</v>
      </c>
      <c r="K36" s="109" t="s">
        <v>108</v>
      </c>
    </row>
    <row r="37" spans="7:11" x14ac:dyDescent="0.25">
      <c r="H37" s="110" t="s">
        <v>179</v>
      </c>
      <c r="I37" s="111">
        <f>Marcos!H31</f>
        <v>0.25</v>
      </c>
      <c r="J37" s="111">
        <f>Marcos!K31</f>
        <v>0.25</v>
      </c>
      <c r="K37" s="112">
        <f>Marcos!N31+Fertxo!N31</f>
        <v>1</v>
      </c>
    </row>
    <row r="38" spans="7:11" x14ac:dyDescent="0.25">
      <c r="H38" s="113" t="s">
        <v>202</v>
      </c>
      <c r="I38" s="59">
        <f>Pedro!H31</f>
        <v>0</v>
      </c>
      <c r="J38" s="59">
        <f>Pedro!K31</f>
        <v>0</v>
      </c>
      <c r="K38" s="114">
        <f>+Pedro!N31+Medina!N27</f>
        <v>1</v>
      </c>
    </row>
    <row r="39" spans="7:11" x14ac:dyDescent="0.25">
      <c r="H39" s="113" t="s">
        <v>203</v>
      </c>
      <c r="I39" s="59">
        <f>+Jido!H31</f>
        <v>0.5</v>
      </c>
      <c r="J39" s="59">
        <f>+Jido!K31</f>
        <v>0</v>
      </c>
      <c r="K39" s="114">
        <f>+Jido!N31+Jacobo!N31</f>
        <v>1</v>
      </c>
    </row>
    <row r="40" spans="7:11" x14ac:dyDescent="0.25">
      <c r="H40" s="113" t="s">
        <v>181</v>
      </c>
      <c r="I40" s="59">
        <f>+Juan!H31</f>
        <v>0.5</v>
      </c>
      <c r="J40" s="59">
        <f>+Juan!K31</f>
        <v>0</v>
      </c>
      <c r="K40" s="114">
        <f>+Juan!N31+Gurpegui!N27</f>
        <v>2</v>
      </c>
    </row>
    <row r="41" spans="7:11" ht="15.75" thickBot="1" x14ac:dyDescent="0.3">
      <c r="H41" s="115" t="s">
        <v>123</v>
      </c>
      <c r="I41" s="116">
        <f>+Diego!H31</f>
        <v>0.5</v>
      </c>
      <c r="J41" s="116">
        <f>+Diego!K31</f>
        <v>0</v>
      </c>
      <c r="K41" s="117">
        <f>+Diego!N31+Nacho!N31</f>
        <v>0</v>
      </c>
    </row>
    <row r="42" spans="7:11" ht="15.75" thickBot="1" x14ac:dyDescent="0.3">
      <c r="H42" s="41"/>
      <c r="I42" s="42"/>
      <c r="J42" s="42"/>
      <c r="K42" s="43"/>
    </row>
    <row r="43" spans="7:11" x14ac:dyDescent="0.25">
      <c r="H43" s="154" t="s">
        <v>186</v>
      </c>
      <c r="I43" s="155"/>
      <c r="J43" s="155"/>
      <c r="K43" s="156"/>
    </row>
    <row r="44" spans="7:11" x14ac:dyDescent="0.25">
      <c r="H44" s="129" t="s">
        <v>187</v>
      </c>
      <c r="I44" s="46"/>
      <c r="K44" s="157">
        <f>+SUM(I46:K50)</f>
        <v>6.75</v>
      </c>
    </row>
    <row r="45" spans="7:11" ht="15.75" thickBot="1" x14ac:dyDescent="0.3">
      <c r="H45" s="115"/>
      <c r="I45" s="158" t="s">
        <v>18</v>
      </c>
      <c r="J45" s="158" t="s">
        <v>21</v>
      </c>
      <c r="K45" s="159" t="s">
        <v>108</v>
      </c>
    </row>
    <row r="46" spans="7:11" x14ac:dyDescent="0.25">
      <c r="H46" s="11" t="s">
        <v>181</v>
      </c>
      <c r="I46" s="59">
        <f>Juan!H30</f>
        <v>0.5</v>
      </c>
      <c r="J46" s="59">
        <f>Juan!K30</f>
        <v>0.5</v>
      </c>
      <c r="K46" s="60">
        <f>Juan!N30+Gurpegui!N26</f>
        <v>0</v>
      </c>
    </row>
    <row r="47" spans="7:11" x14ac:dyDescent="0.25">
      <c r="H47" s="11" t="s">
        <v>200</v>
      </c>
      <c r="I47" s="59">
        <f>Fertxo!H30</f>
        <v>0</v>
      </c>
      <c r="J47" s="59">
        <f>Fertxo!K30</f>
        <v>0</v>
      </c>
      <c r="K47" s="60">
        <f>+Fertxo!N30+Nacho!N30</f>
        <v>1.5</v>
      </c>
    </row>
    <row r="48" spans="7:11" x14ac:dyDescent="0.25">
      <c r="H48" s="11" t="s">
        <v>201</v>
      </c>
      <c r="I48" s="59">
        <f>+Marcos!H30</f>
        <v>0.5</v>
      </c>
      <c r="J48" s="59">
        <f>+Marcos!K30</f>
        <v>0.5</v>
      </c>
      <c r="K48" s="60">
        <f>+Marcos!N30+Diego!N30</f>
        <v>1</v>
      </c>
    </row>
    <row r="49" spans="7:11" x14ac:dyDescent="0.25">
      <c r="H49" s="11" t="s">
        <v>202</v>
      </c>
      <c r="I49" s="59">
        <f>+Pedro!H30</f>
        <v>0.5</v>
      </c>
      <c r="J49" s="59">
        <f>+Pedro!K30</f>
        <v>0.25</v>
      </c>
      <c r="K49" s="60">
        <f>+Pedro!N30+Medina!N26</f>
        <v>0</v>
      </c>
    </row>
    <row r="50" spans="7:11" ht="15.75" thickBot="1" x14ac:dyDescent="0.3">
      <c r="H50" s="16" t="s">
        <v>203</v>
      </c>
      <c r="I50" s="61">
        <f>+Jido!H30</f>
        <v>0.5</v>
      </c>
      <c r="J50" s="61">
        <f>+Jido!K30</f>
        <v>0</v>
      </c>
      <c r="K50" s="62">
        <f>+Jido!N30+Jacobo!N30</f>
        <v>1</v>
      </c>
    </row>
    <row r="51" spans="7:11" ht="16.5" thickTop="1" thickBot="1" x14ac:dyDescent="0.3">
      <c r="H51" s="81"/>
      <c r="I51" s="42"/>
      <c r="J51" s="42"/>
      <c r="K51" s="43"/>
    </row>
    <row r="52" spans="7:11" ht="15.75" thickTop="1" x14ac:dyDescent="0.25">
      <c r="G52" s="12"/>
      <c r="H52" s="66" t="s">
        <v>174</v>
      </c>
      <c r="I52" s="54"/>
      <c r="J52" s="54"/>
      <c r="K52" s="55"/>
    </row>
    <row r="53" spans="7:11" x14ac:dyDescent="0.25">
      <c r="H53" s="11" t="s">
        <v>176</v>
      </c>
      <c r="I53" s="46"/>
      <c r="K53" s="50">
        <f>+SUM(I55:K59)</f>
        <v>5</v>
      </c>
    </row>
    <row r="54" spans="7:11" ht="15.75" thickBot="1" x14ac:dyDescent="0.3">
      <c r="H54" s="16"/>
      <c r="I54" s="57" t="s">
        <v>18</v>
      </c>
      <c r="J54" s="57" t="s">
        <v>21</v>
      </c>
      <c r="K54" s="58" t="s">
        <v>108</v>
      </c>
    </row>
    <row r="55" spans="7:11" ht="15.75" thickTop="1" x14ac:dyDescent="0.25">
      <c r="H55" s="11" t="s">
        <v>181</v>
      </c>
      <c r="I55" s="59">
        <f>Juan!H29</f>
        <v>0.5</v>
      </c>
      <c r="J55" s="59">
        <f>Juan!K29</f>
        <v>0.5</v>
      </c>
      <c r="K55" s="60">
        <f>+Juan!N29+Gurpegui!N25</f>
        <v>0</v>
      </c>
    </row>
    <row r="56" spans="7:11" x14ac:dyDescent="0.25">
      <c r="H56" s="11" t="s">
        <v>182</v>
      </c>
      <c r="I56" s="59">
        <f>Marcos!H29</f>
        <v>0</v>
      </c>
      <c r="J56" s="59">
        <f>Marcos!K29</f>
        <v>0</v>
      </c>
      <c r="K56" s="60">
        <f>Marcos!N29+Jacobo!N29</f>
        <v>1</v>
      </c>
    </row>
    <row r="57" spans="7:11" x14ac:dyDescent="0.25">
      <c r="H57" s="11" t="s">
        <v>183</v>
      </c>
      <c r="I57" s="59">
        <f>+Fertxo!H29</f>
        <v>0.5</v>
      </c>
      <c r="J57" s="59">
        <f>+Fertxo!K29</f>
        <v>0</v>
      </c>
      <c r="K57" s="60">
        <f>+Fertxo!N29+Jido!N29</f>
        <v>2</v>
      </c>
    </row>
    <row r="58" spans="7:11" x14ac:dyDescent="0.25">
      <c r="H58" s="11" t="s">
        <v>184</v>
      </c>
      <c r="I58" s="59">
        <f>+Nacho!H29</f>
        <v>0</v>
      </c>
      <c r="J58" s="59">
        <f>+Nacho!K29</f>
        <v>0</v>
      </c>
      <c r="K58" s="60">
        <f>+Nacho!N29+Medina!N25</f>
        <v>0</v>
      </c>
    </row>
    <row r="59" spans="7:11" ht="15.75" thickBot="1" x14ac:dyDescent="0.3">
      <c r="H59" s="16" t="s">
        <v>185</v>
      </c>
      <c r="I59" s="61">
        <f>+Diego!H29</f>
        <v>0.5</v>
      </c>
      <c r="J59" s="61">
        <f>+Pedro!K29</f>
        <v>0</v>
      </c>
      <c r="K59" s="62">
        <f>+Diego!N29+Pedro!N29</f>
        <v>0</v>
      </c>
    </row>
    <row r="60" spans="7:11" ht="16.5" thickTop="1" thickBot="1" x14ac:dyDescent="0.3">
      <c r="H60" s="160"/>
      <c r="I60" s="42"/>
      <c r="J60" s="42"/>
      <c r="K60" s="43"/>
    </row>
    <row r="61" spans="7:11" x14ac:dyDescent="0.25">
      <c r="H61" s="161" t="s">
        <v>173</v>
      </c>
      <c r="I61" s="155"/>
      <c r="J61" s="155"/>
      <c r="K61" s="156"/>
    </row>
    <row r="62" spans="7:11" x14ac:dyDescent="0.25">
      <c r="H62" s="162" t="s">
        <v>175</v>
      </c>
      <c r="I62" s="46"/>
      <c r="K62" s="157">
        <f>+SUM(I64:K68)</f>
        <v>5</v>
      </c>
    </row>
    <row r="63" spans="7:11" ht="15.75" thickBot="1" x14ac:dyDescent="0.3">
      <c r="H63" s="163"/>
      <c r="I63" s="158" t="s">
        <v>18</v>
      </c>
      <c r="J63" s="158" t="s">
        <v>21</v>
      </c>
      <c r="K63" s="159" t="s">
        <v>108</v>
      </c>
    </row>
    <row r="64" spans="7:11" x14ac:dyDescent="0.25">
      <c r="H64" s="11" t="s">
        <v>177</v>
      </c>
      <c r="I64" s="59">
        <f>Juan!H28</f>
        <v>0</v>
      </c>
      <c r="J64" s="59">
        <f>Juan!K28</f>
        <v>0.5</v>
      </c>
      <c r="K64" s="60">
        <f>Juan!N28+Medina!N24</f>
        <v>1.5</v>
      </c>
    </row>
    <row r="65" spans="8:11" x14ac:dyDescent="0.25">
      <c r="H65" s="11" t="s">
        <v>178</v>
      </c>
      <c r="I65" s="59">
        <f>Diego!H28</f>
        <v>0.5</v>
      </c>
      <c r="J65" s="59">
        <f>+Diego!K28</f>
        <v>0.25</v>
      </c>
      <c r="K65" s="60">
        <f>+Diego!N28+Jacobo!N28</f>
        <v>1</v>
      </c>
    </row>
    <row r="66" spans="8:11" x14ac:dyDescent="0.25">
      <c r="H66" s="11" t="s">
        <v>179</v>
      </c>
      <c r="I66" s="59">
        <f>Marcos!H28</f>
        <v>0</v>
      </c>
      <c r="J66" s="59">
        <f>Marcos!K28</f>
        <v>0.25</v>
      </c>
      <c r="K66" s="60">
        <f>Marcos!N28+Fertxo!N28</f>
        <v>0</v>
      </c>
    </row>
    <row r="67" spans="8:11" x14ac:dyDescent="0.25">
      <c r="H67" s="11" t="s">
        <v>134</v>
      </c>
      <c r="I67" s="59">
        <f>Nacho!H28</f>
        <v>0.5</v>
      </c>
      <c r="J67" s="59">
        <f>+Nacho!K28</f>
        <v>0</v>
      </c>
      <c r="K67" s="60">
        <f>+Nacho!N28+Jido!N28</f>
        <v>0</v>
      </c>
    </row>
    <row r="68" spans="8:11" ht="15.75" thickBot="1" x14ac:dyDescent="0.3">
      <c r="H68" s="16" t="s">
        <v>180</v>
      </c>
      <c r="I68" s="61">
        <f>Pedro!H28</f>
        <v>0.25</v>
      </c>
      <c r="J68" s="61">
        <f>+Pedro!K28</f>
        <v>0.25</v>
      </c>
      <c r="K68" s="62">
        <f>+Pedro!N28+Ratón!N20</f>
        <v>0</v>
      </c>
    </row>
    <row r="69" spans="8:11" ht="15.75" thickTop="1" x14ac:dyDescent="0.25">
      <c r="H69" s="41"/>
      <c r="I69" s="42"/>
      <c r="J69" s="42"/>
      <c r="K69" s="43"/>
    </row>
    <row r="70" spans="8:11" ht="15.75" thickBot="1" x14ac:dyDescent="0.3">
      <c r="H70" s="41"/>
      <c r="I70" s="42"/>
      <c r="J70" s="42"/>
      <c r="K70" s="43"/>
    </row>
    <row r="71" spans="8:11" ht="15.75" thickTop="1" x14ac:dyDescent="0.25">
      <c r="H71" s="53" t="s">
        <v>110</v>
      </c>
      <c r="I71" s="54"/>
      <c r="J71" s="54"/>
      <c r="K71" s="55"/>
    </row>
    <row r="72" spans="8:11" x14ac:dyDescent="0.25">
      <c r="H72" s="45" t="s">
        <v>111</v>
      </c>
      <c r="I72" s="46"/>
      <c r="K72" s="50">
        <f>+SUM(I74:K78)</f>
        <v>7.75</v>
      </c>
    </row>
    <row r="73" spans="8:11" ht="15.75" thickBot="1" x14ac:dyDescent="0.3">
      <c r="H73" s="56"/>
      <c r="I73" s="57" t="s">
        <v>18</v>
      </c>
      <c r="J73" s="57" t="s">
        <v>21</v>
      </c>
      <c r="K73" s="58" t="s">
        <v>108</v>
      </c>
    </row>
    <row r="74" spans="8:11" ht="15.75" thickTop="1" x14ac:dyDescent="0.25">
      <c r="H74" s="11" t="s">
        <v>131</v>
      </c>
      <c r="I74" s="59">
        <f>Juan!H27</f>
        <v>0.5</v>
      </c>
      <c r="J74" s="59">
        <f>Juan!K27</f>
        <v>0</v>
      </c>
      <c r="K74" s="60">
        <f>Juan!N27+0</f>
        <v>1</v>
      </c>
    </row>
    <row r="75" spans="8:11" x14ac:dyDescent="0.25">
      <c r="H75" s="11" t="s">
        <v>132</v>
      </c>
      <c r="I75" s="59">
        <f>Jacobo!H27</f>
        <v>0</v>
      </c>
      <c r="J75" s="59">
        <f>+Jacobo!K27</f>
        <v>0.5</v>
      </c>
      <c r="K75" s="60">
        <f>+Jacobo!N27+1</f>
        <v>1</v>
      </c>
    </row>
    <row r="76" spans="8:11" x14ac:dyDescent="0.25">
      <c r="H76" s="11" t="s">
        <v>133</v>
      </c>
      <c r="I76" s="59">
        <f>Marcos!H27</f>
        <v>0.25</v>
      </c>
      <c r="J76" s="59">
        <f>+Marcos!K27</f>
        <v>0</v>
      </c>
      <c r="K76" s="60">
        <f>+Marcos!N27+Diego!N27</f>
        <v>0.5</v>
      </c>
    </row>
    <row r="77" spans="8:11" x14ac:dyDescent="0.25">
      <c r="H77" s="11" t="s">
        <v>134</v>
      </c>
      <c r="I77" s="59">
        <f>+Nacho!H27</f>
        <v>0</v>
      </c>
      <c r="J77" s="59">
        <f>+Nacho!K27</f>
        <v>0</v>
      </c>
      <c r="K77" s="60">
        <f>+Jido!N27+Nacho!N27</f>
        <v>1.5</v>
      </c>
    </row>
    <row r="78" spans="8:11" ht="15.75" thickBot="1" x14ac:dyDescent="0.3">
      <c r="H78" s="16" t="s">
        <v>135</v>
      </c>
      <c r="I78" s="61">
        <f>+Pedro!H27</f>
        <v>0.5</v>
      </c>
      <c r="J78" s="61">
        <f>+Pedro!K27</f>
        <v>0</v>
      </c>
      <c r="K78" s="62">
        <f>+Pedro!N27+Fertxo!N27</f>
        <v>2</v>
      </c>
    </row>
    <row r="79" spans="8:11" ht="16.5" thickTop="1" thickBot="1" x14ac:dyDescent="0.3"/>
    <row r="80" spans="8:11" ht="15.75" thickTop="1" x14ac:dyDescent="0.25">
      <c r="H80" s="53" t="s">
        <v>106</v>
      </c>
      <c r="I80" s="54"/>
      <c r="J80" s="54"/>
      <c r="K80" s="55"/>
    </row>
    <row r="81" spans="8:11" x14ac:dyDescent="0.25">
      <c r="H81" s="45" t="s">
        <v>107</v>
      </c>
      <c r="I81" s="46"/>
      <c r="K81" s="50">
        <f>+SUM(I83:K87)</f>
        <v>7</v>
      </c>
    </row>
    <row r="82" spans="8:11" ht="15.75" thickBot="1" x14ac:dyDescent="0.3">
      <c r="H82" s="56"/>
      <c r="I82" s="57" t="s">
        <v>18</v>
      </c>
      <c r="J82" s="57" t="s">
        <v>21</v>
      </c>
      <c r="K82" s="58" t="s">
        <v>108</v>
      </c>
    </row>
    <row r="83" spans="8:11" ht="15.75" thickTop="1" x14ac:dyDescent="0.25">
      <c r="H83" s="11" t="s">
        <v>140</v>
      </c>
      <c r="I83" s="59">
        <f>Marcos!H26</f>
        <v>0.5</v>
      </c>
      <c r="J83" s="59">
        <f>Marcos!K26</f>
        <v>0.5</v>
      </c>
      <c r="K83" s="60">
        <f>Marcos!N26+Jacobo!N26</f>
        <v>1</v>
      </c>
    </row>
    <row r="84" spans="8:11" x14ac:dyDescent="0.25">
      <c r="H84" s="11" t="s">
        <v>141</v>
      </c>
      <c r="I84" s="59">
        <f>Juan!H26</f>
        <v>0.5</v>
      </c>
      <c r="J84" s="59">
        <f>Juan!K26</f>
        <v>0</v>
      </c>
      <c r="K84" s="60">
        <f>Juan!N26+0</f>
        <v>1</v>
      </c>
    </row>
    <row r="85" spans="8:11" x14ac:dyDescent="0.25">
      <c r="H85" s="11" t="s">
        <v>142</v>
      </c>
      <c r="I85" s="59">
        <f>Diego!H26</f>
        <v>0</v>
      </c>
      <c r="J85" s="59">
        <f>Diego!K26</f>
        <v>0</v>
      </c>
      <c r="K85" s="60">
        <f>+Diego!N26+Pedro!N26</f>
        <v>1</v>
      </c>
    </row>
    <row r="86" spans="8:11" x14ac:dyDescent="0.25">
      <c r="H86" s="11" t="s">
        <v>143</v>
      </c>
      <c r="I86" s="59">
        <f>+Jido!H26</f>
        <v>0.5</v>
      </c>
      <c r="J86" s="59">
        <f>+Jido!K26</f>
        <v>0</v>
      </c>
      <c r="K86" s="60">
        <f>+Jido!N26+Nacho!N26</f>
        <v>0.5</v>
      </c>
    </row>
    <row r="87" spans="8:11" ht="15.75" thickBot="1" x14ac:dyDescent="0.3">
      <c r="H87" s="16" t="s">
        <v>144</v>
      </c>
      <c r="I87" s="61">
        <f>+Fertxo!H26</f>
        <v>0.5</v>
      </c>
      <c r="J87" s="61">
        <f>+Fertxo!K26</f>
        <v>0</v>
      </c>
      <c r="K87" s="62">
        <f>+Fertxo!N26+1</f>
        <v>1</v>
      </c>
    </row>
    <row r="88" spans="8:11" ht="16.5" thickTop="1" thickBot="1" x14ac:dyDescent="0.3"/>
    <row r="89" spans="8:11" ht="15.75" thickTop="1" x14ac:dyDescent="0.25">
      <c r="H89" s="53" t="s">
        <v>104</v>
      </c>
      <c r="I89" s="54"/>
      <c r="J89" s="54"/>
      <c r="K89" s="55"/>
    </row>
    <row r="90" spans="8:11" x14ac:dyDescent="0.25">
      <c r="H90" s="45" t="s">
        <v>109</v>
      </c>
      <c r="I90" s="46"/>
      <c r="K90" s="50">
        <f>+SUM(I92:K96)</f>
        <v>7</v>
      </c>
    </row>
    <row r="91" spans="8:11" ht="15.75" thickBot="1" x14ac:dyDescent="0.3">
      <c r="H91" s="56"/>
      <c r="I91" s="57" t="s">
        <v>18</v>
      </c>
      <c r="J91" s="57" t="s">
        <v>21</v>
      </c>
      <c r="K91" s="58" t="s">
        <v>108</v>
      </c>
    </row>
    <row r="92" spans="8:11" ht="15.75" thickTop="1" x14ac:dyDescent="0.25">
      <c r="H92" s="11" t="s">
        <v>136</v>
      </c>
      <c r="I92" s="59">
        <f>Marcos!H25</f>
        <v>0.5</v>
      </c>
      <c r="J92" s="59">
        <f>+Marcos!K25</f>
        <v>0</v>
      </c>
      <c r="K92" s="60">
        <v>1</v>
      </c>
    </row>
    <row r="93" spans="8:11" x14ac:dyDescent="0.25">
      <c r="H93" s="11" t="s">
        <v>117</v>
      </c>
      <c r="I93" s="59">
        <f>Juan!H25</f>
        <v>0</v>
      </c>
      <c r="J93" s="59">
        <f>+Juan!K25</f>
        <v>0</v>
      </c>
      <c r="K93" s="60">
        <f>+Juan!N25+Nacho!N25</f>
        <v>1</v>
      </c>
    </row>
    <row r="94" spans="8:11" x14ac:dyDescent="0.25">
      <c r="H94" s="11" t="s">
        <v>137</v>
      </c>
      <c r="I94" s="59">
        <f>Fertxo!H25</f>
        <v>0</v>
      </c>
      <c r="J94" s="59">
        <f>+Fertxo!K25</f>
        <v>0.25</v>
      </c>
      <c r="K94" s="60">
        <f>+Fertxo!N25+0</f>
        <v>0</v>
      </c>
    </row>
    <row r="95" spans="8:11" x14ac:dyDescent="0.25">
      <c r="H95" s="11" t="s">
        <v>138</v>
      </c>
      <c r="I95" s="59">
        <f>+Pedro!H25</f>
        <v>0</v>
      </c>
      <c r="J95" s="59">
        <f>+Pedro!K25</f>
        <v>0.25</v>
      </c>
      <c r="K95" s="60">
        <f>+Jacobo!N25+Pedro!N25</f>
        <v>2</v>
      </c>
    </row>
    <row r="96" spans="8:11" ht="15.75" thickBot="1" x14ac:dyDescent="0.3">
      <c r="H96" s="16" t="s">
        <v>139</v>
      </c>
      <c r="I96" s="61">
        <f>Jido!H25</f>
        <v>0.5</v>
      </c>
      <c r="J96" s="61">
        <f>+Jido!K25</f>
        <v>0.5</v>
      </c>
      <c r="K96" s="62">
        <f>+Jido!N25+1</f>
        <v>1</v>
      </c>
    </row>
    <row r="97" spans="8:11" ht="16.5" thickTop="1" thickBot="1" x14ac:dyDescent="0.3"/>
    <row r="98" spans="8:11" ht="15.75" thickTop="1" x14ac:dyDescent="0.25">
      <c r="H98" s="53" t="s">
        <v>102</v>
      </c>
      <c r="I98" s="54"/>
      <c r="J98" s="54"/>
      <c r="K98" s="55"/>
    </row>
    <row r="99" spans="8:11" x14ac:dyDescent="0.25">
      <c r="H99" s="45" t="s">
        <v>103</v>
      </c>
      <c r="I99" s="46"/>
      <c r="K99" s="50">
        <f>+SUM(I101:K105)</f>
        <v>7</v>
      </c>
    </row>
    <row r="100" spans="8:11" ht="15.75" thickBot="1" x14ac:dyDescent="0.3">
      <c r="H100" s="56"/>
      <c r="I100" s="57" t="s">
        <v>18</v>
      </c>
      <c r="J100" s="57" t="s">
        <v>21</v>
      </c>
      <c r="K100" s="58" t="s">
        <v>108</v>
      </c>
    </row>
    <row r="101" spans="8:11" ht="15.75" thickTop="1" x14ac:dyDescent="0.25">
      <c r="H101" s="11" t="s">
        <v>119</v>
      </c>
      <c r="I101" s="59">
        <f>+Juan!H$24</f>
        <v>0</v>
      </c>
      <c r="J101" s="59">
        <f>+Juan!K$24</f>
        <v>0</v>
      </c>
      <c r="K101" s="60">
        <f>+Juan!N24+Pedro!N24</f>
        <v>1</v>
      </c>
    </row>
    <row r="102" spans="8:11" x14ac:dyDescent="0.25">
      <c r="H102" s="11" t="s">
        <v>120</v>
      </c>
      <c r="I102" s="59">
        <f>+Marcos!H$24</f>
        <v>0.25</v>
      </c>
      <c r="J102" s="59">
        <f>+Marcos!K$24</f>
        <v>0.25</v>
      </c>
      <c r="K102" s="60">
        <f>+Marcos!N24+0</f>
        <v>1</v>
      </c>
    </row>
    <row r="103" spans="8:11" x14ac:dyDescent="0.25">
      <c r="H103" s="11" t="s">
        <v>121</v>
      </c>
      <c r="I103" s="59">
        <f>+Jacobo!H$24</f>
        <v>0.5</v>
      </c>
      <c r="J103" s="59">
        <f>+Jacobo!K$24</f>
        <v>0.25</v>
      </c>
      <c r="K103" s="60">
        <f>+Jacobo!N24+Jido!N24</f>
        <v>2</v>
      </c>
    </row>
    <row r="104" spans="8:11" x14ac:dyDescent="0.25">
      <c r="H104" s="11" t="s">
        <v>122</v>
      </c>
      <c r="I104" s="59">
        <f>+Fertxo!H$24</f>
        <v>0.25</v>
      </c>
      <c r="J104" s="59">
        <f>+Fertxo!K$24</f>
        <v>0</v>
      </c>
      <c r="K104" s="60">
        <f>+Fertxo!N24+Herrero!N18</f>
        <v>1</v>
      </c>
    </row>
    <row r="105" spans="8:11" ht="15.75" thickBot="1" x14ac:dyDescent="0.3">
      <c r="H105" s="16" t="s">
        <v>123</v>
      </c>
      <c r="I105" s="61">
        <f>+Nacho!H$24</f>
        <v>0.5</v>
      </c>
      <c r="J105" s="61">
        <f>+Nacho!K$24</f>
        <v>0</v>
      </c>
      <c r="K105" s="62">
        <f>+[1]Niko!N15+[1]Bejar!N15</f>
        <v>0</v>
      </c>
    </row>
    <row r="106" spans="8:11" ht="16.5" thickTop="1" thickBot="1" x14ac:dyDescent="0.3"/>
    <row r="107" spans="8:11" ht="15.75" thickTop="1" x14ac:dyDescent="0.25">
      <c r="H107" s="53" t="s">
        <v>100</v>
      </c>
      <c r="I107" s="54"/>
      <c r="J107" s="54"/>
      <c r="K107" s="55"/>
    </row>
    <row r="108" spans="8:11" x14ac:dyDescent="0.25">
      <c r="H108" s="45" t="s">
        <v>101</v>
      </c>
      <c r="I108" s="46"/>
      <c r="K108" s="50">
        <f>+SUM(I110:K113)</f>
        <v>4.75</v>
      </c>
    </row>
    <row r="109" spans="8:11" ht="15.75" thickBot="1" x14ac:dyDescent="0.3">
      <c r="H109" s="56"/>
      <c r="I109" s="57" t="s">
        <v>18</v>
      </c>
      <c r="J109" s="57" t="s">
        <v>21</v>
      </c>
      <c r="K109" s="58" t="s">
        <v>108</v>
      </c>
    </row>
    <row r="110" spans="8:11" ht="15.75" thickTop="1" x14ac:dyDescent="0.25">
      <c r="H110" s="11" t="s">
        <v>112</v>
      </c>
      <c r="I110" s="59">
        <f>+Jacobo!H$23</f>
        <v>0.25</v>
      </c>
      <c r="J110" s="59">
        <f>+Jacobo!K$23</f>
        <v>0.5</v>
      </c>
      <c r="K110" s="60">
        <f>+Jacobo!$N$23+Pedro!$N$23</f>
        <v>0</v>
      </c>
    </row>
    <row r="111" spans="8:11" x14ac:dyDescent="0.25">
      <c r="H111" s="11" t="s">
        <v>116</v>
      </c>
      <c r="I111" s="59">
        <f>+Herrero!H$17</f>
        <v>0.25</v>
      </c>
      <c r="J111" s="59">
        <f>+Herrero!K$17</f>
        <v>0.25</v>
      </c>
      <c r="K111" s="60">
        <f>+Herrero!$N$17+Diego!$N$23</f>
        <v>1</v>
      </c>
    </row>
    <row r="112" spans="8:11" x14ac:dyDescent="0.25">
      <c r="H112" s="11" t="s">
        <v>118</v>
      </c>
      <c r="I112" s="59">
        <f>+Marcos!H$23</f>
        <v>0</v>
      </c>
      <c r="J112" s="59">
        <f>+Marcos!K$23</f>
        <v>0</v>
      </c>
      <c r="K112" s="60">
        <f>+Jido!$N$23+Marcos!$N$23</f>
        <v>1</v>
      </c>
    </row>
    <row r="113" spans="8:11" ht="15.75" thickBot="1" x14ac:dyDescent="0.3">
      <c r="H113" s="16" t="s">
        <v>117</v>
      </c>
      <c r="I113" s="61">
        <f>+Juan!H$23</f>
        <v>0.25</v>
      </c>
      <c r="J113" s="61">
        <f>+Juan!K$23</f>
        <v>0.25</v>
      </c>
      <c r="K113" s="62">
        <f>+Juan!$N$23+Nacho!$N$23</f>
        <v>1</v>
      </c>
    </row>
    <row r="114" spans="8:11" ht="16.5" thickTop="1" thickBot="1" x14ac:dyDescent="0.3"/>
    <row r="115" spans="8:11" ht="15.75" thickTop="1" x14ac:dyDescent="0.25">
      <c r="H115" s="53" t="s">
        <v>98</v>
      </c>
      <c r="I115" s="54"/>
      <c r="J115" s="54"/>
      <c r="K115" s="55"/>
    </row>
    <row r="116" spans="8:11" x14ac:dyDescent="0.25">
      <c r="H116" s="45" t="s">
        <v>99</v>
      </c>
      <c r="I116" s="46"/>
      <c r="K116" s="50">
        <f>+SUM(I118:K121)</f>
        <v>6</v>
      </c>
    </row>
    <row r="117" spans="8:11" ht="15.75" thickBot="1" x14ac:dyDescent="0.3">
      <c r="H117" s="56"/>
      <c r="I117" s="57" t="s">
        <v>18</v>
      </c>
      <c r="J117" s="57" t="s">
        <v>21</v>
      </c>
      <c r="K117" s="58" t="s">
        <v>108</v>
      </c>
    </row>
    <row r="118" spans="8:11" ht="15.75" thickTop="1" x14ac:dyDescent="0.25">
      <c r="H118" s="11" t="s">
        <v>112</v>
      </c>
      <c r="I118" s="59">
        <f>Jacobo!$H$22</f>
        <v>0.25</v>
      </c>
      <c r="J118" s="59">
        <f>Jacobo!$K$22</f>
        <v>0.25</v>
      </c>
      <c r="K118" s="60">
        <f>+Jacobo!$N$22+Pedro!$N$22</f>
        <v>0</v>
      </c>
    </row>
    <row r="119" spans="8:11" x14ac:dyDescent="0.25">
      <c r="H119" s="11" t="s">
        <v>116</v>
      </c>
      <c r="I119" s="59">
        <f>Herrero!$H$18</f>
        <v>0.25</v>
      </c>
      <c r="J119" s="59">
        <f>Herrero!$K$18</f>
        <v>0.25</v>
      </c>
      <c r="K119" s="60">
        <f>+Herrero!$N$16+Diego!$N$22</f>
        <v>2</v>
      </c>
    </row>
    <row r="120" spans="8:11" x14ac:dyDescent="0.25">
      <c r="H120" s="11" t="s">
        <v>115</v>
      </c>
      <c r="I120" s="59">
        <f>Jido!$H$22</f>
        <v>0</v>
      </c>
      <c r="J120" s="59">
        <f>Jido!$K$22</f>
        <v>0</v>
      </c>
      <c r="K120" s="60">
        <f>+Jido!$N$22+Marcos!$N$22</f>
        <v>1</v>
      </c>
    </row>
    <row r="121" spans="8:11" ht="15.75" thickBot="1" x14ac:dyDescent="0.3">
      <c r="H121" s="16" t="s">
        <v>114</v>
      </c>
      <c r="I121" s="61">
        <f>Fertxo!$H$23</f>
        <v>0</v>
      </c>
      <c r="J121" s="61">
        <f>Fertxo!$K$23</f>
        <v>0</v>
      </c>
      <c r="K121" s="62">
        <f>+Juan!$N$22+Fertxo!$N$22</f>
        <v>2</v>
      </c>
    </row>
    <row r="122" spans="8:11" ht="16.5" thickTop="1" thickBot="1" x14ac:dyDescent="0.3"/>
    <row r="123" spans="8:11" ht="15.75" thickTop="1" x14ac:dyDescent="0.25">
      <c r="H123" s="53" t="s">
        <v>96</v>
      </c>
      <c r="I123" s="54"/>
      <c r="J123" s="54"/>
      <c r="K123" s="55"/>
    </row>
    <row r="124" spans="8:11" x14ac:dyDescent="0.25">
      <c r="H124" s="45" t="s">
        <v>97</v>
      </c>
      <c r="I124" s="46"/>
      <c r="K124" s="50">
        <f>+SUM(I126:K128)</f>
        <v>5.5</v>
      </c>
    </row>
    <row r="125" spans="8:11" ht="15.75" thickBot="1" x14ac:dyDescent="0.3">
      <c r="H125" s="56"/>
      <c r="I125" s="57" t="s">
        <v>18</v>
      </c>
      <c r="J125" s="57" t="s">
        <v>21</v>
      </c>
      <c r="K125" s="58" t="s">
        <v>108</v>
      </c>
    </row>
    <row r="126" spans="8:11" ht="15.75" thickTop="1" x14ac:dyDescent="0.25">
      <c r="H126" s="11" t="s">
        <v>112</v>
      </c>
      <c r="I126" s="59">
        <f>Jacobo!H21</f>
        <v>0.5</v>
      </c>
      <c r="J126" s="59">
        <f>Jacobo!K21</f>
        <v>0.5</v>
      </c>
      <c r="K126" s="60">
        <f>+Jacobo!N21+Pedro!N21</f>
        <v>2</v>
      </c>
    </row>
    <row r="127" spans="8:11" x14ac:dyDescent="0.25">
      <c r="H127" s="11" t="s">
        <v>113</v>
      </c>
      <c r="I127" s="59">
        <f>Jido!H21</f>
        <v>0.5</v>
      </c>
      <c r="J127" s="59">
        <f>+Jido!K22</f>
        <v>0</v>
      </c>
      <c r="K127" s="60">
        <f>+Jido!N21+Herrero!N15</f>
        <v>0.5</v>
      </c>
    </row>
    <row r="128" spans="8:11" ht="15.75" thickBot="1" x14ac:dyDescent="0.3">
      <c r="H128" s="16" t="s">
        <v>114</v>
      </c>
      <c r="I128" s="61">
        <f>+Fertxo!H21</f>
        <v>0</v>
      </c>
      <c r="J128" s="61">
        <f>+Fertxo!K21</f>
        <v>0.5</v>
      </c>
      <c r="K128" s="62">
        <f>+Fertxo!N21+Juan!N21</f>
        <v>1</v>
      </c>
    </row>
    <row r="129" ht="15.75" thickTop="1" x14ac:dyDescent="0.25"/>
  </sheetData>
  <sortState xmlns:xlrd2="http://schemas.microsoft.com/office/spreadsheetml/2017/richdata2" ref="G3:N13">
    <sortCondition descending="1" ref="K2:K13"/>
  </sortState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Q34"/>
  <sheetViews>
    <sheetView zoomScale="70" zoomScaleNormal="70" workbookViewId="0">
      <selection activeCell="E36" sqref="E36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2" spans="3:17" ht="15.75" thickBot="1" x14ac:dyDescent="0.3"/>
    <row r="3" spans="3:17" ht="16.5" thickTop="1" thickBot="1" x14ac:dyDescent="0.3">
      <c r="C3" s="1" t="s">
        <v>0</v>
      </c>
      <c r="D3" s="2"/>
      <c r="E3" s="3" t="s">
        <v>34</v>
      </c>
      <c r="G3" s="4" t="s">
        <v>2</v>
      </c>
      <c r="H3" s="4" t="s">
        <v>3</v>
      </c>
      <c r="I3" s="4"/>
      <c r="J3" s="4"/>
      <c r="K3" s="4" t="s">
        <v>4</v>
      </c>
      <c r="L3" s="4"/>
      <c r="M3" s="4"/>
      <c r="N3" s="4" t="s">
        <v>5</v>
      </c>
      <c r="O3" s="4"/>
      <c r="P3" s="4"/>
      <c r="Q3" s="4" t="s">
        <v>6</v>
      </c>
    </row>
    <row r="4" spans="3:17" ht="16.5" thickTop="1" thickBot="1" x14ac:dyDescent="0.3">
      <c r="C4" s="5" t="s">
        <v>7</v>
      </c>
      <c r="D4" s="6"/>
      <c r="E4" s="7" t="s">
        <v>85</v>
      </c>
      <c r="G4">
        <v>2014</v>
      </c>
      <c r="H4" s="9">
        <f>+COUNTIF($H22:$Q22,"Ganado")</f>
        <v>1</v>
      </c>
      <c r="I4" s="9"/>
      <c r="J4" s="9"/>
      <c r="K4" s="9">
        <f>+COUNTIF($H22:$Q22,"Empatado")</f>
        <v>0</v>
      </c>
      <c r="L4" s="9"/>
      <c r="M4" s="9"/>
      <c r="N4" s="9">
        <f>+COUNTIF($H22:$Q22,"Perdido")</f>
        <v>2</v>
      </c>
      <c r="O4" s="10"/>
      <c r="P4" s="10"/>
      <c r="Q4">
        <f t="shared" ref="Q4:Q11" si="0">+SUM(H4:N4)</f>
        <v>3</v>
      </c>
    </row>
    <row r="5" spans="3:17" ht="15.75" thickTop="1" x14ac:dyDescent="0.25">
      <c r="C5" s="11"/>
      <c r="E5" s="12"/>
      <c r="G5">
        <v>2015</v>
      </c>
      <c r="H5" s="9">
        <f>+COUNTIF($H23:$Q23,"Ganado")</f>
        <v>0</v>
      </c>
      <c r="I5" s="9"/>
      <c r="J5" s="9"/>
      <c r="K5" s="9">
        <f>+COUNTIF($H23:$Q23,"Empatado")</f>
        <v>0</v>
      </c>
      <c r="L5" s="9"/>
      <c r="M5" s="9"/>
      <c r="N5" s="9">
        <f>+COUNTIF($H23:$Q23,"Perdido")</f>
        <v>3</v>
      </c>
      <c r="O5" s="10"/>
      <c r="P5" s="10"/>
      <c r="Q5">
        <f t="shared" si="0"/>
        <v>3</v>
      </c>
    </row>
    <row r="6" spans="3:17" x14ac:dyDescent="0.25">
      <c r="C6" s="11" t="s">
        <v>9</v>
      </c>
      <c r="E6" s="13">
        <f>+COUNT(G4:G15)</f>
        <v>12</v>
      </c>
      <c r="F6" s="14"/>
      <c r="G6">
        <v>2016</v>
      </c>
      <c r="H6" s="9">
        <f>+COUNTIF($H24:$Q24,"Ganado")</f>
        <v>1</v>
      </c>
      <c r="I6" s="9"/>
      <c r="J6" s="9"/>
      <c r="K6" s="9">
        <f>+COUNTIF($H24:$Q24,"Empatado")</f>
        <v>2</v>
      </c>
      <c r="L6" s="9"/>
      <c r="M6" s="9"/>
      <c r="N6" s="9">
        <f>+COUNTIF($H24:$Q24,"Perdido")</f>
        <v>0</v>
      </c>
      <c r="O6" s="10"/>
      <c r="P6" s="10"/>
      <c r="Q6">
        <f t="shared" si="0"/>
        <v>3</v>
      </c>
    </row>
    <row r="7" spans="3:17" x14ac:dyDescent="0.25">
      <c r="C7" s="11" t="s">
        <v>10</v>
      </c>
      <c r="E7" s="15">
        <f>+E6*2</f>
        <v>24</v>
      </c>
      <c r="G7">
        <v>2017</v>
      </c>
      <c r="H7" s="9">
        <f>+COUNTIF($H25:$Q25,"Ganado")</f>
        <v>1</v>
      </c>
      <c r="I7" s="9"/>
      <c r="J7" s="9"/>
      <c r="K7" s="9">
        <f>+COUNTIF($H25:$Q25,"Empatado")</f>
        <v>0</v>
      </c>
      <c r="L7" s="9"/>
      <c r="M7" s="9"/>
      <c r="N7" s="9">
        <f>+COUNTIF($H25:$Q25,"Perdido")</f>
        <v>2</v>
      </c>
      <c r="O7" s="10"/>
      <c r="P7" s="10"/>
      <c r="Q7">
        <f t="shared" si="0"/>
        <v>3</v>
      </c>
    </row>
    <row r="8" spans="3:17" x14ac:dyDescent="0.25">
      <c r="C8" s="11" t="s">
        <v>11</v>
      </c>
      <c r="E8" s="15">
        <f>+Q34</f>
        <v>9.5</v>
      </c>
      <c r="G8">
        <v>2018</v>
      </c>
      <c r="H8" s="9">
        <f t="shared" ref="H8:H10" si="1">+COUNTIF($H26:$Q26,"Ganado")</f>
        <v>2</v>
      </c>
      <c r="I8" s="9"/>
      <c r="J8" s="9"/>
      <c r="K8" s="9">
        <f t="shared" ref="K8:K10" si="2">+COUNTIF($H26:$Q26,"Empatado")</f>
        <v>0</v>
      </c>
      <c r="L8" s="9"/>
      <c r="M8" s="9"/>
      <c r="N8" s="9">
        <f t="shared" ref="N8:N10" si="3">+COUNTIF($H26:$Q26,"Perdido")</f>
        <v>1</v>
      </c>
      <c r="O8" s="10"/>
      <c r="P8" s="10"/>
      <c r="Q8">
        <f t="shared" si="0"/>
        <v>3</v>
      </c>
    </row>
    <row r="9" spans="3:17" ht="15.75" thickBot="1" x14ac:dyDescent="0.3">
      <c r="C9" s="16" t="s">
        <v>12</v>
      </c>
      <c r="D9" s="17"/>
      <c r="E9" s="18">
        <f>+E8/E7</f>
        <v>0.39583333333333331</v>
      </c>
      <c r="G9">
        <v>2019</v>
      </c>
      <c r="H9" s="9">
        <f t="shared" si="1"/>
        <v>0</v>
      </c>
      <c r="I9" s="9"/>
      <c r="J9" s="9"/>
      <c r="K9" s="9">
        <f t="shared" si="2"/>
        <v>2</v>
      </c>
      <c r="L9" s="9"/>
      <c r="M9" s="9"/>
      <c r="N9" s="9">
        <f t="shared" si="3"/>
        <v>1</v>
      </c>
      <c r="O9" s="10"/>
      <c r="P9" s="10"/>
      <c r="Q9">
        <f t="shared" si="0"/>
        <v>3</v>
      </c>
    </row>
    <row r="10" spans="3:17" ht="15.75" thickTop="1" x14ac:dyDescent="0.25">
      <c r="G10">
        <v>2020</v>
      </c>
      <c r="H10" s="9">
        <f t="shared" si="1"/>
        <v>0</v>
      </c>
      <c r="I10" s="9"/>
      <c r="J10" s="9"/>
      <c r="K10" s="9">
        <f t="shared" si="2"/>
        <v>1</v>
      </c>
      <c r="L10" s="9"/>
      <c r="M10" s="9"/>
      <c r="N10" s="9">
        <f t="shared" si="3"/>
        <v>2</v>
      </c>
      <c r="O10" s="10"/>
      <c r="P10" s="10"/>
      <c r="Q10">
        <f t="shared" si="0"/>
        <v>3</v>
      </c>
    </row>
    <row r="11" spans="3:17" ht="15.75" thickBot="1" x14ac:dyDescent="0.3">
      <c r="C11" s="4" t="s">
        <v>14</v>
      </c>
      <c r="D11" s="4">
        <f>+SUM(D12:D14)</f>
        <v>35</v>
      </c>
      <c r="E11" s="20" t="s">
        <v>15</v>
      </c>
      <c r="G11">
        <v>2021</v>
      </c>
      <c r="H11" s="9">
        <f>+COUNTIF($H29:$Q29,"Ganado")</f>
        <v>0</v>
      </c>
      <c r="I11" s="9"/>
      <c r="J11" s="9"/>
      <c r="K11" s="9">
        <f>+COUNTIF($H29:$Q29,"Empatado")</f>
        <v>0</v>
      </c>
      <c r="L11" s="9"/>
      <c r="M11" s="9"/>
      <c r="N11" s="9">
        <f>+COUNTIF($H29:$Q29,"Perdido")</f>
        <v>3</v>
      </c>
      <c r="O11" s="10"/>
      <c r="P11" s="10"/>
      <c r="Q11">
        <f t="shared" si="0"/>
        <v>3</v>
      </c>
    </row>
    <row r="12" spans="3:17" ht="15.75" thickTop="1" x14ac:dyDescent="0.25">
      <c r="C12" s="21" t="s">
        <v>16</v>
      </c>
      <c r="D12">
        <f>+D17+D22+D28</f>
        <v>10</v>
      </c>
      <c r="E12" s="22">
        <f>+D12/D$11</f>
        <v>0.2857142857142857</v>
      </c>
      <c r="G12">
        <v>2022</v>
      </c>
      <c r="H12" s="9">
        <f>+COUNTIF($H30:$Q30,"Ganado")</f>
        <v>3</v>
      </c>
      <c r="I12" s="9"/>
      <c r="J12" s="9"/>
      <c r="K12" s="9">
        <f>+COUNTIF($H30:$Q30,"Empatado")</f>
        <v>0</v>
      </c>
      <c r="L12" s="9"/>
      <c r="M12" s="9"/>
      <c r="N12" s="9">
        <f>+COUNTIF($H30:$Q30,"Perdido")</f>
        <v>0</v>
      </c>
      <c r="O12" s="10"/>
      <c r="P12" s="10"/>
      <c r="Q12">
        <f t="shared" ref="Q12" si="4">+SUM(H12:N12)</f>
        <v>3</v>
      </c>
    </row>
    <row r="13" spans="3:17" x14ac:dyDescent="0.25">
      <c r="C13" s="21" t="s">
        <v>23</v>
      </c>
      <c r="D13">
        <f>+D18+D23+D29</f>
        <v>7</v>
      </c>
      <c r="E13" s="22">
        <f>+D13/D$11</f>
        <v>0.2</v>
      </c>
      <c r="G13">
        <v>2023</v>
      </c>
      <c r="H13" s="9">
        <f>+COUNTIF($H31:$Q31,"Ganado")</f>
        <v>1</v>
      </c>
      <c r="I13" s="9"/>
      <c r="J13" s="9"/>
      <c r="K13" s="9">
        <f>+COUNTIF($H31:$Q31,"Empatado")</f>
        <v>2</v>
      </c>
      <c r="L13" s="9"/>
      <c r="M13" s="9"/>
      <c r="N13" s="9">
        <f>+COUNTIF($H31:$Q31,"Perdido")</f>
        <v>0</v>
      </c>
      <c r="O13" s="10"/>
      <c r="P13" s="10"/>
      <c r="Q13">
        <f t="shared" ref="Q13" si="5">+SUM(H13:N13)</f>
        <v>3</v>
      </c>
    </row>
    <row r="14" spans="3:17" x14ac:dyDescent="0.25">
      <c r="C14" s="21" t="s">
        <v>5</v>
      </c>
      <c r="D14">
        <f>+D19+D24+D30</f>
        <v>18</v>
      </c>
      <c r="E14" s="22">
        <f>+D14/D$11</f>
        <v>0.51428571428571423</v>
      </c>
      <c r="G14">
        <v>2024</v>
      </c>
      <c r="H14" s="9">
        <f t="shared" ref="H14:H15" si="6">+COUNTIF($H32:$Q32,"Ganado")</f>
        <v>1</v>
      </c>
      <c r="I14" s="9"/>
      <c r="J14" s="9"/>
      <c r="K14" s="9">
        <f t="shared" ref="K14:K15" si="7">+COUNTIF($H32:$Q32,"Empatado")</f>
        <v>0</v>
      </c>
      <c r="L14" s="9"/>
      <c r="M14" s="9"/>
      <c r="N14" s="9">
        <f t="shared" ref="N14:N15" si="8">+COUNTIF($H32:$Q32,"Perdido")</f>
        <v>2</v>
      </c>
      <c r="O14" s="10"/>
      <c r="P14" s="10"/>
      <c r="Q14">
        <f t="shared" ref="Q14:Q15" si="9">+SUM(H14:N14)</f>
        <v>3</v>
      </c>
    </row>
    <row r="15" spans="3:17" ht="15.75" thickBot="1" x14ac:dyDescent="0.3">
      <c r="G15">
        <v>2025</v>
      </c>
      <c r="H15" s="9">
        <f t="shared" si="6"/>
        <v>0</v>
      </c>
      <c r="I15" s="9"/>
      <c r="J15" s="9"/>
      <c r="K15" s="9">
        <f t="shared" si="7"/>
        <v>0</v>
      </c>
      <c r="L15" s="9"/>
      <c r="M15" s="9"/>
      <c r="N15" s="9">
        <f t="shared" si="8"/>
        <v>2</v>
      </c>
      <c r="O15" s="10"/>
      <c r="P15" s="10"/>
      <c r="Q15">
        <f t="shared" si="9"/>
        <v>2</v>
      </c>
    </row>
    <row r="16" spans="3:17" ht="16.5" thickTop="1" thickBot="1" x14ac:dyDescent="0.3">
      <c r="C16" s="4" t="s">
        <v>27</v>
      </c>
      <c r="D16" s="4">
        <f>+SUM(D17:D19)</f>
        <v>12</v>
      </c>
      <c r="E16" s="20" t="s">
        <v>15</v>
      </c>
      <c r="G16" s="19" t="s">
        <v>13</v>
      </c>
      <c r="H16" s="19">
        <f>SUM(H4:H14)</f>
        <v>10</v>
      </c>
      <c r="I16" s="19"/>
      <c r="J16" s="19"/>
      <c r="K16" s="19">
        <f>SUM(K4:K14)</f>
        <v>7</v>
      </c>
      <c r="L16" s="19"/>
      <c r="M16" s="19"/>
      <c r="N16" s="19">
        <f>SUM(N4:N14)</f>
        <v>16</v>
      </c>
      <c r="O16" s="19"/>
      <c r="P16" s="19"/>
      <c r="Q16" s="19">
        <f>SUM(Q4:Q15)</f>
        <v>35</v>
      </c>
    </row>
    <row r="17" spans="3:17" ht="15.75" thickTop="1" x14ac:dyDescent="0.25">
      <c r="C17" s="21" t="s">
        <v>29</v>
      </c>
      <c r="D17">
        <f>+COUNTIF($I$21:$I$33,"Ganado")</f>
        <v>3</v>
      </c>
      <c r="E17" s="22">
        <f>+D17/D$16</f>
        <v>0.25</v>
      </c>
    </row>
    <row r="18" spans="3:17" ht="15.75" thickBot="1" x14ac:dyDescent="0.3">
      <c r="C18" s="21" t="s">
        <v>23</v>
      </c>
      <c r="D18">
        <f>+COUNTIF($I$21:$I$33,"Empatado")</f>
        <v>3</v>
      </c>
      <c r="E18" s="22">
        <f>+D18/D$16</f>
        <v>0.25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C19" s="21" t="s">
        <v>5</v>
      </c>
      <c r="D19">
        <f>+COUNTIF($I$21:$I$33,"Perdido")</f>
        <v>6</v>
      </c>
      <c r="E19" s="22">
        <f>+D19/D$16</f>
        <v>0.5</v>
      </c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95"/>
    </row>
    <row r="20" spans="3:17" x14ac:dyDescent="0.25">
      <c r="G20" s="29" t="s">
        <v>25</v>
      </c>
      <c r="H20" s="30">
        <f>H19*$E$6</f>
        <v>6</v>
      </c>
      <c r="I20" s="140"/>
      <c r="J20" s="139"/>
      <c r="K20" s="140">
        <f>K19*$E$6</f>
        <v>6</v>
      </c>
      <c r="L20" s="140"/>
      <c r="M20" s="139"/>
      <c r="N20" s="140">
        <f>N19*$E$6</f>
        <v>12</v>
      </c>
      <c r="O20" s="140"/>
      <c r="P20" s="139"/>
      <c r="Q20" s="96">
        <f>+SUM(H20:N20)</f>
        <v>24</v>
      </c>
    </row>
    <row r="21" spans="3:17" ht="15.75" thickBot="1" x14ac:dyDescent="0.3">
      <c r="C21" s="4" t="s">
        <v>32</v>
      </c>
      <c r="D21" s="4">
        <f>+SUM(D22:D24)</f>
        <v>12</v>
      </c>
      <c r="E21" s="20" t="s">
        <v>15</v>
      </c>
      <c r="G21" s="8">
        <v>2013</v>
      </c>
      <c r="H21" s="32"/>
      <c r="I21" s="141"/>
      <c r="J21" s="143"/>
      <c r="K21" s="142"/>
      <c r="L21" s="141"/>
      <c r="M21" s="143"/>
      <c r="N21" s="142"/>
      <c r="O21" s="141"/>
      <c r="P21" s="143"/>
      <c r="Q21" s="97">
        <f t="shared" ref="Q21:Q29" si="10">+H21+K21+N21</f>
        <v>0</v>
      </c>
    </row>
    <row r="22" spans="3:17" ht="15.75" thickTop="1" x14ac:dyDescent="0.25">
      <c r="C22" s="21" t="s">
        <v>16</v>
      </c>
      <c r="D22">
        <f>+COUNTIF($L$21:$L$33,"Ganado")</f>
        <v>2</v>
      </c>
      <c r="E22" s="22">
        <f>+D22/D$21</f>
        <v>0.16666666666666666</v>
      </c>
      <c r="G22">
        <f>+G21+1</f>
        <v>2014</v>
      </c>
      <c r="H22" s="32">
        <v>0</v>
      </c>
      <c r="I22" s="9" t="str">
        <f t="shared" ref="I22:I29" si="11">+IF(H22=0.5,"Ganado",IF(H22=0.25,"Empatado",IF(H22&lt;0.25,"Perdido")))</f>
        <v>Perdido</v>
      </c>
      <c r="J22" s="33" t="s">
        <v>87</v>
      </c>
      <c r="K22" s="32">
        <v>0</v>
      </c>
      <c r="L22" s="9" t="str">
        <f t="shared" ref="L22:L29" si="12">+IF(K22=0.5,"Ganado",IF(K22=0.25,"Empatado",IF(K22&lt;0.25,"Perdido")))</f>
        <v>Perdido</v>
      </c>
      <c r="M22" s="33" t="s">
        <v>56</v>
      </c>
      <c r="N22" s="32">
        <v>1</v>
      </c>
      <c r="O22" s="9" t="str">
        <f t="shared" ref="O22:O29" si="13">+IF(N22=1,"Ganado",IF(N22=0.5,"Empatado",IF(N22&lt;0.5,"Perdido")))</f>
        <v>Ganado</v>
      </c>
      <c r="P22" s="33" t="s">
        <v>79</v>
      </c>
      <c r="Q22" s="97">
        <f t="shared" si="10"/>
        <v>1</v>
      </c>
    </row>
    <row r="23" spans="3:17" x14ac:dyDescent="0.25">
      <c r="C23" s="21" t="s">
        <v>23</v>
      </c>
      <c r="D23">
        <f>+COUNTIF($L$21:$L$33,"Empatado")</f>
        <v>3</v>
      </c>
      <c r="E23" s="22">
        <f>+D23/D$21</f>
        <v>0.25</v>
      </c>
      <c r="G23">
        <f t="shared" ref="G23:G24" si="14">+G22+1</f>
        <v>2015</v>
      </c>
      <c r="H23" s="32">
        <v>0</v>
      </c>
      <c r="I23" s="9" t="str">
        <f t="shared" si="11"/>
        <v>Perdido</v>
      </c>
      <c r="J23" s="33" t="s">
        <v>88</v>
      </c>
      <c r="K23" s="32">
        <v>0</v>
      </c>
      <c r="L23" s="9" t="str">
        <f t="shared" si="12"/>
        <v>Perdido</v>
      </c>
      <c r="M23" s="33" t="s">
        <v>88</v>
      </c>
      <c r="N23" s="32">
        <v>0</v>
      </c>
      <c r="O23" s="9" t="str">
        <f t="shared" si="13"/>
        <v>Perdido</v>
      </c>
      <c r="P23" s="33" t="s">
        <v>37</v>
      </c>
      <c r="Q23" s="97">
        <f t="shared" si="10"/>
        <v>0</v>
      </c>
    </row>
    <row r="24" spans="3:17" x14ac:dyDescent="0.25">
      <c r="C24" s="21" t="s">
        <v>5</v>
      </c>
      <c r="D24">
        <f>+COUNTIF($L$21:$L$33,"Perdido")</f>
        <v>7</v>
      </c>
      <c r="E24" s="22">
        <f>+D24/D$21</f>
        <v>0.58333333333333337</v>
      </c>
      <c r="G24">
        <f t="shared" si="14"/>
        <v>2016</v>
      </c>
      <c r="H24" s="32">
        <v>0.25</v>
      </c>
      <c r="I24" s="9" t="str">
        <f t="shared" si="11"/>
        <v>Empatado</v>
      </c>
      <c r="J24" s="33" t="s">
        <v>89</v>
      </c>
      <c r="K24" s="32">
        <v>0.25</v>
      </c>
      <c r="L24" s="9" t="str">
        <f t="shared" si="12"/>
        <v>Empatado</v>
      </c>
      <c r="M24" s="33" t="s">
        <v>89</v>
      </c>
      <c r="N24" s="32">
        <v>1</v>
      </c>
      <c r="O24" s="9" t="str">
        <f t="shared" si="13"/>
        <v>Ganado</v>
      </c>
      <c r="P24" s="33" t="s">
        <v>79</v>
      </c>
      <c r="Q24" s="97">
        <f t="shared" si="10"/>
        <v>1.5</v>
      </c>
    </row>
    <row r="25" spans="3:17" x14ac:dyDescent="0.25">
      <c r="G25">
        <v>2017</v>
      </c>
      <c r="H25" s="32">
        <v>0.5</v>
      </c>
      <c r="I25" s="9" t="str">
        <f t="shared" si="11"/>
        <v>Ganado</v>
      </c>
      <c r="J25" s="33" t="s">
        <v>90</v>
      </c>
      <c r="K25" s="32">
        <v>0</v>
      </c>
      <c r="L25" s="9" t="str">
        <f t="shared" si="12"/>
        <v>Perdido</v>
      </c>
      <c r="M25" s="33" t="s">
        <v>90</v>
      </c>
      <c r="N25" s="32">
        <v>0</v>
      </c>
      <c r="O25" s="9" t="str">
        <f t="shared" si="13"/>
        <v>Perdido</v>
      </c>
      <c r="P25" s="33" t="s">
        <v>58</v>
      </c>
      <c r="Q25" s="97">
        <f t="shared" si="10"/>
        <v>0.5</v>
      </c>
    </row>
    <row r="26" spans="3:17" x14ac:dyDescent="0.25">
      <c r="G26">
        <v>2018</v>
      </c>
      <c r="H26" s="32">
        <v>0.5</v>
      </c>
      <c r="I26" s="9" t="str">
        <f t="shared" si="11"/>
        <v>Ganado</v>
      </c>
      <c r="J26" s="33" t="s">
        <v>91</v>
      </c>
      <c r="K26" s="32">
        <v>0.5</v>
      </c>
      <c r="L26" s="9" t="str">
        <f t="shared" si="12"/>
        <v>Ganado</v>
      </c>
      <c r="M26" s="33" t="s">
        <v>91</v>
      </c>
      <c r="N26" s="32">
        <v>0</v>
      </c>
      <c r="O26" s="9" t="str">
        <f t="shared" si="13"/>
        <v>Perdido</v>
      </c>
      <c r="P26" s="33" t="s">
        <v>58</v>
      </c>
      <c r="Q26" s="97">
        <f t="shared" si="10"/>
        <v>1</v>
      </c>
    </row>
    <row r="27" spans="3:17" ht="15.75" thickBot="1" x14ac:dyDescent="0.3">
      <c r="C27" s="4" t="s">
        <v>33</v>
      </c>
      <c r="D27" s="4">
        <f>+SUM(D28:D30)</f>
        <v>11</v>
      </c>
      <c r="E27" s="20" t="s">
        <v>15</v>
      </c>
      <c r="G27">
        <v>2019</v>
      </c>
      <c r="H27" s="32">
        <v>0.25</v>
      </c>
      <c r="I27" s="9" t="str">
        <f t="shared" si="11"/>
        <v>Empatado</v>
      </c>
      <c r="J27" s="33" t="s">
        <v>124</v>
      </c>
      <c r="K27" s="32">
        <v>0</v>
      </c>
      <c r="L27" s="9" t="str">
        <f t="shared" si="12"/>
        <v>Perdido</v>
      </c>
      <c r="M27" s="33" t="s">
        <v>124</v>
      </c>
      <c r="N27" s="32">
        <v>0.5</v>
      </c>
      <c r="O27" s="9" t="str">
        <f t="shared" si="13"/>
        <v>Empatado</v>
      </c>
      <c r="P27" s="33" t="s">
        <v>126</v>
      </c>
      <c r="Q27" s="97">
        <f t="shared" si="10"/>
        <v>0.75</v>
      </c>
    </row>
    <row r="28" spans="3:17" ht="15.75" thickTop="1" x14ac:dyDescent="0.25">
      <c r="C28" s="21" t="s">
        <v>16</v>
      </c>
      <c r="D28">
        <f>+COUNTIF($O$21:$O$33,"Ganado")</f>
        <v>5</v>
      </c>
      <c r="E28" s="22">
        <f>+D28/D$27</f>
        <v>0.45454545454545453</v>
      </c>
      <c r="G28">
        <v>2020</v>
      </c>
      <c r="H28" s="32">
        <v>0</v>
      </c>
      <c r="I28" s="9" t="str">
        <f t="shared" si="11"/>
        <v>Perdido</v>
      </c>
      <c r="J28" s="33" t="s">
        <v>145</v>
      </c>
      <c r="K28" s="32">
        <v>0.25</v>
      </c>
      <c r="L28" s="9" t="str">
        <f t="shared" si="12"/>
        <v>Empatado</v>
      </c>
      <c r="M28" s="33" t="s">
        <v>145</v>
      </c>
      <c r="N28" s="32">
        <v>0</v>
      </c>
      <c r="O28" s="9" t="str">
        <f t="shared" si="13"/>
        <v>Perdido</v>
      </c>
      <c r="P28" s="33" t="s">
        <v>58</v>
      </c>
      <c r="Q28" s="97">
        <f t="shared" si="10"/>
        <v>0.25</v>
      </c>
    </row>
    <row r="29" spans="3:17" x14ac:dyDescent="0.25">
      <c r="C29" s="21" t="s">
        <v>23</v>
      </c>
      <c r="D29">
        <f>+COUNTIF($O$21:$O$33,"Empatado")</f>
        <v>1</v>
      </c>
      <c r="E29" s="22">
        <f>+D29/D$27</f>
        <v>9.0909090909090912E-2</v>
      </c>
      <c r="G29">
        <v>2021</v>
      </c>
      <c r="H29" s="32">
        <v>0</v>
      </c>
      <c r="I29" s="9" t="str">
        <f t="shared" si="11"/>
        <v>Perdido</v>
      </c>
      <c r="J29" s="33" t="s">
        <v>146</v>
      </c>
      <c r="K29" s="32">
        <v>0</v>
      </c>
      <c r="L29" s="9" t="str">
        <f t="shared" si="12"/>
        <v>Perdido</v>
      </c>
      <c r="M29" s="33" t="s">
        <v>146</v>
      </c>
      <c r="N29" s="32">
        <v>0</v>
      </c>
      <c r="O29" s="9" t="str">
        <f t="shared" si="13"/>
        <v>Perdido</v>
      </c>
      <c r="P29" s="33" t="s">
        <v>147</v>
      </c>
      <c r="Q29" s="97">
        <f t="shared" si="10"/>
        <v>0</v>
      </c>
    </row>
    <row r="30" spans="3:17" x14ac:dyDescent="0.25">
      <c r="C30" s="21" t="s">
        <v>5</v>
      </c>
      <c r="D30">
        <f>+COUNTIF($O$21:$O$33,"Perdido")</f>
        <v>5</v>
      </c>
      <c r="E30" s="22">
        <f>+D30/D$27</f>
        <v>0.45454545454545453</v>
      </c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188</v>
      </c>
      <c r="K30" s="32">
        <v>0.5</v>
      </c>
      <c r="L30" s="9" t="str">
        <f>+IF(K30=0.5,"Ganado",IF(K30=0.25,"Empatado",IF(K30&lt;0.25,"Perdido")))</f>
        <v>Ganado</v>
      </c>
      <c r="M30" s="33" t="s">
        <v>188</v>
      </c>
      <c r="N30" s="32">
        <v>1</v>
      </c>
      <c r="O30" s="9" t="str">
        <f>+IF(N30=1,"Ganado",IF(N30=0.5,"Empatado",IF(N30&lt;0.5,"Perdido")))</f>
        <v>Ganado</v>
      </c>
      <c r="P30" s="33" t="s">
        <v>74</v>
      </c>
      <c r="Q30" s="97">
        <f>+H30+K30+N30</f>
        <v>2</v>
      </c>
    </row>
    <row r="31" spans="3:17" x14ac:dyDescent="0.25">
      <c r="G31">
        <v>2023</v>
      </c>
      <c r="H31" s="32">
        <v>0.25</v>
      </c>
      <c r="I31" s="9" t="str">
        <f>+IF(H31=0.5,"Ganado",IF(H31=0.25,"Empatado",IF(H31&lt;0.25,"Perdido")))</f>
        <v>Empatado</v>
      </c>
      <c r="J31" s="33" t="s">
        <v>206</v>
      </c>
      <c r="K31" s="32">
        <v>0.25</v>
      </c>
      <c r="L31" s="9" t="str">
        <f>+IF(K31=0.5,"Ganado",IF(K31=0.25,"Empatado",IF(K31&lt;0.25,"Perdido")))</f>
        <v>Empatado</v>
      </c>
      <c r="M31" s="33" t="s">
        <v>206</v>
      </c>
      <c r="N31" s="32">
        <v>1</v>
      </c>
      <c r="O31" s="9" t="str">
        <f>+IF(N31=1,"Ganado",IF(N31=0.5,"Empatado",IF(N31&lt;0.5,"Perdido")))</f>
        <v>Ganado</v>
      </c>
      <c r="P31" s="33" t="s">
        <v>207</v>
      </c>
      <c r="Q31" s="97">
        <f>+H31+K31+N31</f>
        <v>1.5</v>
      </c>
    </row>
    <row r="32" spans="3:17" ht="15.75" thickBot="1" x14ac:dyDescent="0.3">
      <c r="G32">
        <v>2024</v>
      </c>
      <c r="H32" s="32">
        <v>0</v>
      </c>
      <c r="I32" s="37" t="str">
        <f>+IF(H32=0.5,"Ganado",IF(H32=0.25,"Empatado",IF(H32&lt;0.25,"Perdido")))</f>
        <v>Perdido</v>
      </c>
      <c r="J32" s="35" t="s">
        <v>219</v>
      </c>
      <c r="K32" s="36">
        <v>0</v>
      </c>
      <c r="L32" s="37" t="str">
        <f>+IF(K32=0.5,"Ganado",IF(K32=0.25,"Empatado",IF(K32&lt;0.25,"Perdido")))</f>
        <v>Perdido</v>
      </c>
      <c r="M32" s="35" t="s">
        <v>219</v>
      </c>
      <c r="N32" s="36">
        <v>1</v>
      </c>
      <c r="O32" s="37" t="str">
        <f>+IF(N32=1,"Ganado",IF(N32=0.5,"Empatado",IF(N32&lt;0.5,"Perdido")))</f>
        <v>Ganado</v>
      </c>
      <c r="P32" s="35" t="s">
        <v>74</v>
      </c>
      <c r="Q32" s="97">
        <f>+H32+K32+N32</f>
        <v>1</v>
      </c>
    </row>
    <row r="33" spans="7:17" ht="16.5" thickTop="1" thickBot="1" x14ac:dyDescent="0.3">
      <c r="G33">
        <v>2025</v>
      </c>
      <c r="H33" s="32">
        <v>0</v>
      </c>
      <c r="I33" s="37" t="str">
        <f>+IF(H33=0.5,"Ganado",IF(H33=0.25,"Empatado",IF(H33&lt;0.25,"Perdido")))</f>
        <v>Perdido</v>
      </c>
      <c r="J33" s="35" t="s">
        <v>231</v>
      </c>
      <c r="K33" s="36">
        <v>0</v>
      </c>
      <c r="L33" s="37" t="str">
        <f>+IF(K33=0.5,"Ganado",IF(K33=0.25,"Empatado",IF(K33&lt;0.25,"Perdido")))</f>
        <v>Perdido</v>
      </c>
      <c r="M33" s="35" t="s">
        <v>231</v>
      </c>
      <c r="N33" s="36"/>
      <c r="O33" s="37"/>
      <c r="P33" s="35"/>
      <c r="Q33" s="97">
        <v>0</v>
      </c>
    </row>
    <row r="34" spans="7:17" ht="16.5" thickTop="1" thickBot="1" x14ac:dyDescent="0.3">
      <c r="G34" s="19" t="s">
        <v>6</v>
      </c>
      <c r="H34" s="38">
        <f>SUM(H22:H33)</f>
        <v>2.25</v>
      </c>
      <c r="I34" s="101"/>
      <c r="J34" s="102"/>
      <c r="K34" s="100">
        <f>SUM(K22:K33)</f>
        <v>1.75</v>
      </c>
      <c r="L34" s="101"/>
      <c r="M34" s="102"/>
      <c r="N34" s="100">
        <f>SUM(N22:N33)</f>
        <v>5.5</v>
      </c>
      <c r="O34" s="101"/>
      <c r="P34" s="102"/>
      <c r="Q34" s="98">
        <f>SUM(Q21:Q33)</f>
        <v>9.5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Q38"/>
  <sheetViews>
    <sheetView zoomScale="70" zoomScaleNormal="70" workbookViewId="0">
      <selection activeCell="H49" sqref="H49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1" spans="3:17" ht="15.75" thickBot="1" x14ac:dyDescent="0.3"/>
    <row r="2" spans="3:17" ht="16.5" thickTop="1" thickBot="1" x14ac:dyDescent="0.3">
      <c r="C2" s="1" t="s">
        <v>0</v>
      </c>
      <c r="D2" s="2"/>
      <c r="E2" s="3" t="s">
        <v>34</v>
      </c>
      <c r="G2" s="4" t="s">
        <v>2</v>
      </c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4" t="s">
        <v>6</v>
      </c>
    </row>
    <row r="3" spans="3:17" ht="16.5" thickTop="1" thickBot="1" x14ac:dyDescent="0.3">
      <c r="C3" s="5" t="s">
        <v>7</v>
      </c>
      <c r="D3" s="6"/>
      <c r="E3" s="7" t="s">
        <v>86</v>
      </c>
      <c r="G3" s="8">
        <v>2013</v>
      </c>
      <c r="H3" s="9">
        <f t="shared" ref="H3:H12" si="0">+COUNTIF($H21:$Q21,"Ganado")</f>
        <v>2</v>
      </c>
      <c r="I3" s="9"/>
      <c r="J3" s="9"/>
      <c r="K3" s="9">
        <f t="shared" ref="K3:K12" si="1">+COUNTIF($H21:$Q21,"Empatado")</f>
        <v>0</v>
      </c>
      <c r="L3" s="9"/>
      <c r="M3" s="9"/>
      <c r="N3" s="9">
        <f t="shared" ref="N3:N12" si="2">+COUNTIF($H21:$Q21,"Perdido")</f>
        <v>1</v>
      </c>
      <c r="O3" s="10"/>
      <c r="P3" s="10"/>
      <c r="Q3">
        <f t="shared" ref="Q3:Q9" si="3">+SUM(H3:N3)</f>
        <v>3</v>
      </c>
    </row>
    <row r="4" spans="3:17" ht="15.75" thickTop="1" x14ac:dyDescent="0.25">
      <c r="C4" s="11"/>
      <c r="E4" s="12"/>
      <c r="G4">
        <v>2014</v>
      </c>
      <c r="H4" s="9">
        <f t="shared" si="0"/>
        <v>1</v>
      </c>
      <c r="I4" s="9"/>
      <c r="J4" s="9"/>
      <c r="K4" s="9">
        <f t="shared" si="1"/>
        <v>1</v>
      </c>
      <c r="L4" s="9"/>
      <c r="M4" s="9"/>
      <c r="N4" s="9">
        <f t="shared" si="2"/>
        <v>1</v>
      </c>
      <c r="O4" s="10"/>
      <c r="P4" s="10"/>
      <c r="Q4">
        <f t="shared" si="3"/>
        <v>3</v>
      </c>
    </row>
    <row r="5" spans="3:17" x14ac:dyDescent="0.25">
      <c r="C5" s="11" t="s">
        <v>9</v>
      </c>
      <c r="E5" s="13">
        <f>+COUNT(G3:G15)</f>
        <v>13</v>
      </c>
      <c r="F5" s="14"/>
      <c r="G5">
        <v>2015</v>
      </c>
      <c r="H5" s="9">
        <f t="shared" si="0"/>
        <v>1</v>
      </c>
      <c r="I5" s="9"/>
      <c r="J5" s="9"/>
      <c r="K5" s="9">
        <f t="shared" si="1"/>
        <v>2</v>
      </c>
      <c r="L5" s="9"/>
      <c r="M5" s="9"/>
      <c r="N5" s="9">
        <f t="shared" si="2"/>
        <v>0</v>
      </c>
      <c r="O5" s="10"/>
      <c r="P5" s="10"/>
      <c r="Q5">
        <f t="shared" si="3"/>
        <v>3</v>
      </c>
    </row>
    <row r="6" spans="3:17" x14ac:dyDescent="0.25">
      <c r="C6" s="11" t="s">
        <v>10</v>
      </c>
      <c r="E6" s="15">
        <f>+E5*2</f>
        <v>26</v>
      </c>
      <c r="G6">
        <v>2016</v>
      </c>
      <c r="H6" s="9">
        <f t="shared" si="0"/>
        <v>1</v>
      </c>
      <c r="I6" s="9"/>
      <c r="J6" s="9"/>
      <c r="K6" s="9">
        <f t="shared" si="1"/>
        <v>0</v>
      </c>
      <c r="L6" s="9"/>
      <c r="M6" s="9"/>
      <c r="N6" s="9">
        <f t="shared" si="2"/>
        <v>2</v>
      </c>
      <c r="O6" s="10"/>
      <c r="P6" s="10"/>
      <c r="Q6">
        <f t="shared" si="3"/>
        <v>3</v>
      </c>
    </row>
    <row r="7" spans="3:17" x14ac:dyDescent="0.25">
      <c r="C7" s="11" t="s">
        <v>11</v>
      </c>
      <c r="E7" s="15">
        <f>+Q34</f>
        <v>16.5</v>
      </c>
      <c r="G7">
        <v>2017</v>
      </c>
      <c r="H7" s="9">
        <f t="shared" si="0"/>
        <v>1</v>
      </c>
      <c r="I7" s="9"/>
      <c r="J7" s="9"/>
      <c r="K7" s="9">
        <f t="shared" si="1"/>
        <v>0</v>
      </c>
      <c r="L7" s="9"/>
      <c r="M7" s="9"/>
      <c r="N7" s="9">
        <f t="shared" si="2"/>
        <v>2</v>
      </c>
      <c r="O7" s="10"/>
      <c r="P7" s="10"/>
      <c r="Q7">
        <f t="shared" si="3"/>
        <v>3</v>
      </c>
    </row>
    <row r="8" spans="3:17" ht="15.75" thickBot="1" x14ac:dyDescent="0.3">
      <c r="C8" s="16" t="s">
        <v>12</v>
      </c>
      <c r="D8" s="17"/>
      <c r="E8" s="18">
        <f>+E7/E6</f>
        <v>0.63461538461538458</v>
      </c>
      <c r="G8">
        <v>2018</v>
      </c>
      <c r="H8" s="9">
        <f t="shared" si="0"/>
        <v>2</v>
      </c>
      <c r="I8" s="9"/>
      <c r="J8" s="9"/>
      <c r="K8" s="9">
        <f t="shared" si="1"/>
        <v>0</v>
      </c>
      <c r="L8" s="9"/>
      <c r="M8" s="9"/>
      <c r="N8" s="9">
        <f t="shared" si="2"/>
        <v>1</v>
      </c>
      <c r="O8" s="10"/>
      <c r="P8" s="10"/>
      <c r="Q8">
        <f t="shared" si="3"/>
        <v>3</v>
      </c>
    </row>
    <row r="9" spans="3:17" ht="15.75" thickTop="1" x14ac:dyDescent="0.25">
      <c r="G9">
        <v>2019</v>
      </c>
      <c r="H9" s="9">
        <f t="shared" si="0"/>
        <v>2</v>
      </c>
      <c r="I9" s="9"/>
      <c r="J9" s="9"/>
      <c r="K9" s="9">
        <f t="shared" si="1"/>
        <v>0</v>
      </c>
      <c r="L9" s="9"/>
      <c r="M9" s="9"/>
      <c r="N9" s="9">
        <f t="shared" si="2"/>
        <v>1</v>
      </c>
      <c r="O9" s="10"/>
      <c r="P9" s="10"/>
      <c r="Q9">
        <f t="shared" si="3"/>
        <v>3</v>
      </c>
    </row>
    <row r="10" spans="3:17" ht="15.75" thickBot="1" x14ac:dyDescent="0.3">
      <c r="C10" s="4" t="s">
        <v>14</v>
      </c>
      <c r="D10" s="4">
        <f>+SUM(D11:D13)</f>
        <v>39</v>
      </c>
      <c r="E10" s="20" t="s">
        <v>15</v>
      </c>
      <c r="G10">
        <v>2020</v>
      </c>
      <c r="H10" s="9">
        <f t="shared" si="0"/>
        <v>1</v>
      </c>
      <c r="I10" s="9"/>
      <c r="J10" s="9"/>
      <c r="K10" s="9">
        <f t="shared" si="1"/>
        <v>1</v>
      </c>
      <c r="L10" s="9"/>
      <c r="M10" s="9"/>
      <c r="N10" s="9">
        <f t="shared" si="2"/>
        <v>1</v>
      </c>
      <c r="O10" s="10"/>
      <c r="P10" s="10"/>
      <c r="Q10">
        <f t="shared" ref="Q10:Q11" si="4">+SUM(H10:N10)</f>
        <v>3</v>
      </c>
    </row>
    <row r="11" spans="3:17" ht="15.75" thickTop="1" x14ac:dyDescent="0.25">
      <c r="C11" s="21" t="s">
        <v>16</v>
      </c>
      <c r="D11">
        <f>+D16+D21+D26</f>
        <v>21</v>
      </c>
      <c r="E11" s="22">
        <f>+D11/D$10</f>
        <v>0.53846153846153844</v>
      </c>
      <c r="G11">
        <v>2021</v>
      </c>
      <c r="H11" s="9">
        <f t="shared" si="0"/>
        <v>2</v>
      </c>
      <c r="I11" s="9"/>
      <c r="J11" s="9"/>
      <c r="K11" s="9">
        <f t="shared" si="1"/>
        <v>0</v>
      </c>
      <c r="L11" s="9"/>
      <c r="M11" s="9"/>
      <c r="N11" s="9">
        <f t="shared" si="2"/>
        <v>1</v>
      </c>
      <c r="O11" s="10"/>
      <c r="P11" s="10"/>
      <c r="Q11">
        <f t="shared" si="4"/>
        <v>3</v>
      </c>
    </row>
    <row r="12" spans="3:17" x14ac:dyDescent="0.25">
      <c r="C12" s="21" t="s">
        <v>23</v>
      </c>
      <c r="D12">
        <f>+D17+D22+D27</f>
        <v>5</v>
      </c>
      <c r="E12" s="22">
        <f>+D12/D$10</f>
        <v>0.12820512820512819</v>
      </c>
      <c r="G12">
        <v>2022</v>
      </c>
      <c r="H12" s="9">
        <f t="shared" si="0"/>
        <v>2</v>
      </c>
      <c r="I12" s="9"/>
      <c r="J12" s="9"/>
      <c r="K12" s="9">
        <f t="shared" si="1"/>
        <v>0</v>
      </c>
      <c r="L12" s="9"/>
      <c r="M12" s="9"/>
      <c r="N12" s="9">
        <f t="shared" si="2"/>
        <v>1</v>
      </c>
      <c r="O12" s="10"/>
      <c r="P12" s="10"/>
      <c r="Q12">
        <f t="shared" ref="Q12" si="5">+SUM(H12:N12)</f>
        <v>3</v>
      </c>
    </row>
    <row r="13" spans="3:17" x14ac:dyDescent="0.25">
      <c r="C13" s="21" t="s">
        <v>5</v>
      </c>
      <c r="D13">
        <f>+D18+D23+D28</f>
        <v>13</v>
      </c>
      <c r="E13" s="22">
        <f>+D13/D$10</f>
        <v>0.33333333333333331</v>
      </c>
      <c r="G13">
        <v>2023</v>
      </c>
      <c r="H13" s="9">
        <f>+COUNTIF($H31:$Q31,"Ganado")</f>
        <v>2</v>
      </c>
      <c r="I13" s="9"/>
      <c r="J13" s="9"/>
      <c r="K13" s="9">
        <f>+COUNTIF($H31:$Q31,"Empatado")</f>
        <v>0</v>
      </c>
      <c r="L13" s="9"/>
      <c r="M13" s="9"/>
      <c r="N13" s="9">
        <f>+COUNTIF($H31:$Q31,"Perdido")</f>
        <v>1</v>
      </c>
      <c r="O13" s="10"/>
      <c r="P13" s="10"/>
      <c r="Q13">
        <f t="shared" ref="Q13" si="6">+SUM(H13:N13)</f>
        <v>3</v>
      </c>
    </row>
    <row r="14" spans="3:17" x14ac:dyDescent="0.25">
      <c r="G14">
        <v>2024</v>
      </c>
      <c r="H14" s="9">
        <f t="shared" ref="H14:H15" si="7">+COUNTIF($H32:$Q32,"Ganado")</f>
        <v>2</v>
      </c>
      <c r="I14" s="9"/>
      <c r="J14" s="9"/>
      <c r="K14" s="9">
        <f t="shared" ref="K14:K15" si="8">+COUNTIF($H32:$Q32,"Empatado")</f>
        <v>1</v>
      </c>
      <c r="L14" s="9"/>
      <c r="M14" s="9"/>
      <c r="N14" s="9">
        <f t="shared" ref="N14:N15" si="9">+COUNTIF($H32:$Q32,"Perdido")</f>
        <v>0</v>
      </c>
      <c r="O14" s="10"/>
      <c r="P14" s="10"/>
      <c r="Q14">
        <f t="shared" ref="Q14:Q15" si="10">+SUM(H14:N14)</f>
        <v>3</v>
      </c>
    </row>
    <row r="15" spans="3:17" ht="15.75" thickBot="1" x14ac:dyDescent="0.3">
      <c r="C15" s="4" t="s">
        <v>27</v>
      </c>
      <c r="D15" s="4">
        <f>+SUM(D16:D18)</f>
        <v>13</v>
      </c>
      <c r="E15" s="20" t="s">
        <v>15</v>
      </c>
      <c r="G15">
        <v>2025</v>
      </c>
      <c r="H15" s="9">
        <f t="shared" si="7"/>
        <v>2</v>
      </c>
      <c r="I15" s="9"/>
      <c r="J15" s="9"/>
      <c r="K15" s="9">
        <f t="shared" si="8"/>
        <v>0</v>
      </c>
      <c r="L15" s="9"/>
      <c r="M15" s="9"/>
      <c r="N15" s="9">
        <f t="shared" si="9"/>
        <v>1</v>
      </c>
      <c r="O15" s="10"/>
      <c r="P15" s="10"/>
      <c r="Q15">
        <f t="shared" si="10"/>
        <v>3</v>
      </c>
    </row>
    <row r="16" spans="3:17" ht="16.5" thickTop="1" thickBot="1" x14ac:dyDescent="0.3">
      <c r="C16" s="21" t="s">
        <v>29</v>
      </c>
      <c r="D16">
        <f>+COUNTIF($I$21:$I$33,"Ganado")</f>
        <v>6</v>
      </c>
      <c r="E16" s="22">
        <f>+D16/D$15</f>
        <v>0.46153846153846156</v>
      </c>
      <c r="G16" s="19" t="s">
        <v>13</v>
      </c>
      <c r="H16" s="19">
        <f>SUM(H3:H14)</f>
        <v>19</v>
      </c>
      <c r="I16" s="19"/>
      <c r="J16" s="19"/>
      <c r="K16" s="19">
        <f>SUM(K3:K14)</f>
        <v>5</v>
      </c>
      <c r="L16" s="19"/>
      <c r="M16" s="19"/>
      <c r="N16" s="19">
        <f>SUM(N3:N14)</f>
        <v>12</v>
      </c>
      <c r="O16" s="19"/>
      <c r="P16" s="19"/>
      <c r="Q16" s="19">
        <f>SUM(Q3:Q14)</f>
        <v>36</v>
      </c>
    </row>
    <row r="17" spans="3:17" x14ac:dyDescent="0.25">
      <c r="C17" s="21" t="s">
        <v>23</v>
      </c>
      <c r="D17">
        <f>+COUNTIF($I$21:$I$33,"Empatado")</f>
        <v>2</v>
      </c>
      <c r="E17" s="22">
        <f>+D17/D$15</f>
        <v>0.15384615384615385</v>
      </c>
    </row>
    <row r="18" spans="3:17" ht="15.75" thickBot="1" x14ac:dyDescent="0.3">
      <c r="C18" s="21" t="s">
        <v>5</v>
      </c>
      <c r="D18">
        <f>+COUNTIF($I$21:$I$33,"Perdido")</f>
        <v>5</v>
      </c>
      <c r="E18" s="22">
        <f>+D18/D$15</f>
        <v>0.38461538461538464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ht="15.75" thickBot="1" x14ac:dyDescent="0.3">
      <c r="C20" s="4" t="s">
        <v>32</v>
      </c>
      <c r="D20" s="4">
        <f>+SUM(D21:D23)</f>
        <v>13</v>
      </c>
      <c r="E20" s="20" t="s">
        <v>15</v>
      </c>
      <c r="G20" s="29" t="s">
        <v>25</v>
      </c>
      <c r="H20" s="30">
        <f>H19*$E$5</f>
        <v>6.5</v>
      </c>
      <c r="I20" s="140"/>
      <c r="J20" s="139"/>
      <c r="K20" s="140">
        <f>K19*$E$5</f>
        <v>6.5</v>
      </c>
      <c r="L20" s="140"/>
      <c r="M20" s="139"/>
      <c r="N20" s="140">
        <f>N19*$E$5</f>
        <v>13</v>
      </c>
      <c r="O20" s="140"/>
      <c r="P20" s="139"/>
      <c r="Q20" s="29">
        <f>+SUM(H20:N20)</f>
        <v>26</v>
      </c>
    </row>
    <row r="21" spans="3:17" ht="15.75" thickTop="1" x14ac:dyDescent="0.25">
      <c r="C21" s="21" t="s">
        <v>16</v>
      </c>
      <c r="D21">
        <f>+COUNTIF($L$21:$L$33,"Ganado")</f>
        <v>6</v>
      </c>
      <c r="E21" s="22">
        <f>+D21/D$20</f>
        <v>0.46153846153846156</v>
      </c>
      <c r="G21" s="8">
        <v>2013</v>
      </c>
      <c r="H21" s="32">
        <v>0</v>
      </c>
      <c r="I21" s="144" t="str">
        <f t="shared" ref="I21:I29" si="11">+IF(H21=0.5,"Ganado",IF(H21=0.25,"Empatado",IF(H21&lt;0.25,"Perdido")))</f>
        <v>Perdido</v>
      </c>
      <c r="J21" s="145" t="s">
        <v>78</v>
      </c>
      <c r="K21" s="146">
        <v>0.5</v>
      </c>
      <c r="L21" s="144" t="str">
        <f t="shared" ref="L21:L29" si="12">+IF(K21=0.5,"Ganado",IF(K21=0.25,"Empatado",IF(K21&lt;0.25,"Perdido")))</f>
        <v>Ganado</v>
      </c>
      <c r="M21" s="145" t="s">
        <v>78</v>
      </c>
      <c r="N21" s="146">
        <v>1</v>
      </c>
      <c r="O21" s="144" t="str">
        <f t="shared" ref="O21:O29" si="13">+IF(N21=1,"Ganado",IF(N21=0.5,"Empatado",IF(N21&lt;0.5,"Perdido")))</f>
        <v>Ganado</v>
      </c>
      <c r="P21" s="145" t="s">
        <v>45</v>
      </c>
      <c r="Q21" s="34">
        <f t="shared" ref="Q21:Q29" si="14">+H21+K21+N21</f>
        <v>1.5</v>
      </c>
    </row>
    <row r="22" spans="3:17" x14ac:dyDescent="0.25">
      <c r="C22" s="21" t="s">
        <v>23</v>
      </c>
      <c r="D22">
        <f>+COUNTIF($L$21:$L$33,"Empatado")</f>
        <v>2</v>
      </c>
      <c r="E22" s="22">
        <f>+D22/D$20</f>
        <v>0.15384615384615385</v>
      </c>
      <c r="G22">
        <f>+G21+1</f>
        <v>2014</v>
      </c>
      <c r="H22" s="32">
        <v>0</v>
      </c>
      <c r="I22" s="9" t="str">
        <f t="shared" si="11"/>
        <v>Perdido</v>
      </c>
      <c r="J22" s="33" t="s">
        <v>80</v>
      </c>
      <c r="K22" s="32">
        <v>0.25</v>
      </c>
      <c r="L22" s="9" t="str">
        <f t="shared" si="12"/>
        <v>Empatado</v>
      </c>
      <c r="M22" s="33" t="s">
        <v>80</v>
      </c>
      <c r="N22" s="32">
        <v>1</v>
      </c>
      <c r="O22" s="9" t="str">
        <f t="shared" si="13"/>
        <v>Ganado</v>
      </c>
      <c r="P22" s="33" t="s">
        <v>58</v>
      </c>
      <c r="Q22" s="34">
        <f t="shared" si="14"/>
        <v>1.25</v>
      </c>
    </row>
    <row r="23" spans="3:17" x14ac:dyDescent="0.25">
      <c r="C23" s="21" t="s">
        <v>5</v>
      </c>
      <c r="D23">
        <f>+COUNTIF($L$21:$L$33,"Perdido")</f>
        <v>5</v>
      </c>
      <c r="E23" s="22">
        <f>+D23/D$20</f>
        <v>0.38461538461538464</v>
      </c>
      <c r="G23">
        <f t="shared" ref="G23:G24" si="15">+G22+1</f>
        <v>2015</v>
      </c>
      <c r="H23" s="32">
        <v>0.25</v>
      </c>
      <c r="I23" s="9" t="str">
        <f t="shared" si="11"/>
        <v>Empatado</v>
      </c>
      <c r="J23" s="33" t="s">
        <v>81</v>
      </c>
      <c r="K23" s="32">
        <v>0.25</v>
      </c>
      <c r="L23" s="9" t="str">
        <f t="shared" si="12"/>
        <v>Empatado</v>
      </c>
      <c r="M23" s="33" t="s">
        <v>81</v>
      </c>
      <c r="N23" s="32">
        <v>1</v>
      </c>
      <c r="O23" s="9" t="str">
        <f t="shared" si="13"/>
        <v>Ganado</v>
      </c>
      <c r="P23" s="33" t="s">
        <v>79</v>
      </c>
      <c r="Q23" s="34">
        <f t="shared" si="14"/>
        <v>1.5</v>
      </c>
    </row>
    <row r="24" spans="3:17" x14ac:dyDescent="0.25">
      <c r="G24">
        <f t="shared" si="15"/>
        <v>2016</v>
      </c>
      <c r="H24" s="32">
        <v>0</v>
      </c>
      <c r="I24" s="9" t="str">
        <f t="shared" si="11"/>
        <v>Perdido</v>
      </c>
      <c r="J24" s="33" t="s">
        <v>82</v>
      </c>
      <c r="K24" s="32">
        <v>0</v>
      </c>
      <c r="L24" s="9" t="str">
        <f t="shared" si="12"/>
        <v>Perdido</v>
      </c>
      <c r="M24" s="33" t="s">
        <v>82</v>
      </c>
      <c r="N24" s="32">
        <v>1</v>
      </c>
      <c r="O24" s="9" t="str">
        <f t="shared" si="13"/>
        <v>Ganado</v>
      </c>
      <c r="P24" s="33" t="s">
        <v>46</v>
      </c>
      <c r="Q24" s="34">
        <f t="shared" si="14"/>
        <v>1</v>
      </c>
    </row>
    <row r="25" spans="3:17" ht="15.75" thickBot="1" x14ac:dyDescent="0.3">
      <c r="C25" s="4" t="s">
        <v>33</v>
      </c>
      <c r="D25" s="4">
        <f>+SUM(D26:D28)</f>
        <v>13</v>
      </c>
      <c r="E25" s="20" t="s">
        <v>15</v>
      </c>
      <c r="G25">
        <v>2017</v>
      </c>
      <c r="H25" s="32">
        <v>0</v>
      </c>
      <c r="I25" s="9" t="str">
        <f t="shared" si="11"/>
        <v>Perdido</v>
      </c>
      <c r="J25" s="33" t="s">
        <v>83</v>
      </c>
      <c r="K25" s="32">
        <v>0</v>
      </c>
      <c r="L25" s="9" t="str">
        <f t="shared" si="12"/>
        <v>Perdido</v>
      </c>
      <c r="M25" s="33" t="s">
        <v>83</v>
      </c>
      <c r="N25" s="32">
        <v>1</v>
      </c>
      <c r="O25" s="9" t="str">
        <f t="shared" si="13"/>
        <v>Ganado</v>
      </c>
      <c r="P25" s="33" t="s">
        <v>46</v>
      </c>
      <c r="Q25" s="34">
        <f t="shared" si="14"/>
        <v>1</v>
      </c>
    </row>
    <row r="26" spans="3:17" ht="15.75" thickTop="1" x14ac:dyDescent="0.25">
      <c r="C26" s="21" t="s">
        <v>16</v>
      </c>
      <c r="D26">
        <f>+COUNTIF($O$21:$O$33,"Ganado")</f>
        <v>9</v>
      </c>
      <c r="E26" s="22">
        <f>+D26/D$25</f>
        <v>0.69230769230769229</v>
      </c>
      <c r="G26">
        <v>2018</v>
      </c>
      <c r="H26" s="32">
        <v>0.5</v>
      </c>
      <c r="I26" s="9" t="str">
        <f t="shared" si="11"/>
        <v>Ganado</v>
      </c>
      <c r="J26" s="33" t="s">
        <v>84</v>
      </c>
      <c r="K26" s="32">
        <v>0</v>
      </c>
      <c r="L26" s="9" t="str">
        <f t="shared" si="12"/>
        <v>Perdido</v>
      </c>
      <c r="M26" s="33" t="s">
        <v>84</v>
      </c>
      <c r="N26" s="32">
        <v>1</v>
      </c>
      <c r="O26" s="9" t="str">
        <f t="shared" si="13"/>
        <v>Ganado</v>
      </c>
      <c r="P26" s="33" t="s">
        <v>52</v>
      </c>
      <c r="Q26" s="34">
        <f t="shared" si="14"/>
        <v>1.5</v>
      </c>
    </row>
    <row r="27" spans="3:17" x14ac:dyDescent="0.25">
      <c r="C27" s="21" t="s">
        <v>23</v>
      </c>
      <c r="D27">
        <f>+COUNTIF($O$21:$O$33,"Empatado")</f>
        <v>1</v>
      </c>
      <c r="E27" s="22">
        <f>+D27/D$25</f>
        <v>7.6923076923076927E-2</v>
      </c>
      <c r="G27">
        <v>2019</v>
      </c>
      <c r="H27" s="32">
        <v>0.5</v>
      </c>
      <c r="I27" s="9" t="str">
        <f t="shared" si="11"/>
        <v>Ganado</v>
      </c>
      <c r="J27" s="33" t="s">
        <v>125</v>
      </c>
      <c r="K27" s="32">
        <v>0</v>
      </c>
      <c r="L27" s="9" t="str">
        <f t="shared" si="12"/>
        <v>Perdido</v>
      </c>
      <c r="M27" s="33" t="s">
        <v>125</v>
      </c>
      <c r="N27" s="32">
        <v>1</v>
      </c>
      <c r="O27" s="9" t="str">
        <f t="shared" si="13"/>
        <v>Ganado</v>
      </c>
      <c r="P27" s="33" t="s">
        <v>39</v>
      </c>
      <c r="Q27" s="34">
        <f t="shared" si="14"/>
        <v>1.5</v>
      </c>
    </row>
    <row r="28" spans="3:17" x14ac:dyDescent="0.25">
      <c r="C28" s="21" t="s">
        <v>5</v>
      </c>
      <c r="D28">
        <f>+COUNTIF($O$21:$O$33,"Perdido")</f>
        <v>3</v>
      </c>
      <c r="E28" s="22">
        <f>+D28/D$25</f>
        <v>0.23076923076923078</v>
      </c>
      <c r="G28">
        <v>2020</v>
      </c>
      <c r="H28" s="32">
        <v>0</v>
      </c>
      <c r="I28" s="9" t="str">
        <f t="shared" si="11"/>
        <v>Perdido</v>
      </c>
      <c r="J28" s="33" t="s">
        <v>154</v>
      </c>
      <c r="K28" s="32">
        <v>0.5</v>
      </c>
      <c r="L28" s="9" t="str">
        <f t="shared" si="12"/>
        <v>Ganado</v>
      </c>
      <c r="M28" s="33" t="s">
        <v>154</v>
      </c>
      <c r="N28" s="32">
        <v>0.5</v>
      </c>
      <c r="O28" s="9" t="str">
        <f t="shared" si="13"/>
        <v>Empatado</v>
      </c>
      <c r="P28" s="33" t="s">
        <v>45</v>
      </c>
      <c r="Q28" s="34">
        <f t="shared" si="14"/>
        <v>1</v>
      </c>
    </row>
    <row r="29" spans="3:17" x14ac:dyDescent="0.25">
      <c r="G29">
        <v>2021</v>
      </c>
      <c r="H29" s="32">
        <v>0.5</v>
      </c>
      <c r="I29" s="9" t="str">
        <f t="shared" si="11"/>
        <v>Ganado</v>
      </c>
      <c r="J29" s="33" t="s">
        <v>155</v>
      </c>
      <c r="K29" s="32">
        <v>0.5</v>
      </c>
      <c r="L29" s="9" t="str">
        <f t="shared" si="12"/>
        <v>Ganado</v>
      </c>
      <c r="M29" s="33" t="s">
        <v>155</v>
      </c>
      <c r="N29" s="32">
        <v>0</v>
      </c>
      <c r="O29" s="9" t="str">
        <f t="shared" si="13"/>
        <v>Perdido</v>
      </c>
      <c r="P29" s="33" t="s">
        <v>79</v>
      </c>
      <c r="Q29" s="34">
        <f t="shared" si="14"/>
        <v>1</v>
      </c>
    </row>
    <row r="30" spans="3:17" x14ac:dyDescent="0.25"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189</v>
      </c>
      <c r="K30" s="32">
        <v>0.5</v>
      </c>
      <c r="L30" s="9" t="str">
        <f>+IF(K30=0.5,"Ganado",IF(K30=0.25,"Empatado",IF(K30&lt;0.25,"Perdido")))</f>
        <v>Ganado</v>
      </c>
      <c r="M30" s="33" t="s">
        <v>189</v>
      </c>
      <c r="N30" s="32">
        <v>0</v>
      </c>
      <c r="O30" s="9" t="str">
        <f>+IF(N30=1,"Ganado",IF(N30=0.5,"Empatado",IF(N30&lt;0.5,"Perdido")))</f>
        <v>Perdido</v>
      </c>
      <c r="P30" s="33" t="s">
        <v>46</v>
      </c>
      <c r="Q30" s="34">
        <f>+H30+K30+N30</f>
        <v>1</v>
      </c>
    </row>
    <row r="31" spans="3:17" x14ac:dyDescent="0.25">
      <c r="G31">
        <v>2023</v>
      </c>
      <c r="H31" s="32">
        <v>0.5</v>
      </c>
      <c r="I31" s="9" t="str">
        <f>+IF(H31=0.5,"Ganado",IF(H31=0.25,"Empatado",IF(H31&lt;0.25,"Perdido")))</f>
        <v>Ganado</v>
      </c>
      <c r="J31" s="33" t="s">
        <v>208</v>
      </c>
      <c r="K31" s="32">
        <v>0</v>
      </c>
      <c r="L31" s="9" t="str">
        <f>+IF(K31=0.5,"Ganado",IF(K31=0.25,"Empatado",IF(K31&lt;0.25,"Perdido")))</f>
        <v>Perdido</v>
      </c>
      <c r="M31" s="33" t="s">
        <v>208</v>
      </c>
      <c r="N31" s="32">
        <v>1</v>
      </c>
      <c r="O31" s="9" t="str">
        <f>+IF(N31=1,"Ganado",IF(N31=0.5,"Empatado",IF(N31&lt;0.5,"Perdido")))</f>
        <v>Ganado</v>
      </c>
      <c r="P31" s="33" t="s">
        <v>46</v>
      </c>
      <c r="Q31" s="34">
        <f>+H31+K31+N31</f>
        <v>1.5</v>
      </c>
    </row>
    <row r="32" spans="3:17" ht="15.75" thickBot="1" x14ac:dyDescent="0.3">
      <c r="G32">
        <v>2024</v>
      </c>
      <c r="H32" s="32">
        <v>0.25</v>
      </c>
      <c r="I32" s="105" t="str">
        <f>+IF(H32=0.5,"Ganado",IF(H32=0.25,"Empatado",IF(H32&lt;0.25,"Perdido")))</f>
        <v>Empatado</v>
      </c>
      <c r="J32" s="103" t="s">
        <v>220</v>
      </c>
      <c r="K32" s="104">
        <v>0.5</v>
      </c>
      <c r="L32" s="105" t="str">
        <f>+IF(K32=0.5,"Ganado",IF(K32=0.25,"Empatado",IF(K32&lt;0.25,"Perdido")))</f>
        <v>Ganado</v>
      </c>
      <c r="M32" s="103" t="s">
        <v>220</v>
      </c>
      <c r="N32" s="104">
        <v>1</v>
      </c>
      <c r="O32" s="105" t="str">
        <f>+IF(N32=1,"Ganado",IF(N32=0.5,"Empatado",IF(N32&lt;0.5,"Perdido")))</f>
        <v>Ganado</v>
      </c>
      <c r="P32" s="103" t="s">
        <v>41</v>
      </c>
      <c r="Q32" s="34">
        <f>+H32+K32+N32</f>
        <v>1.75</v>
      </c>
    </row>
    <row r="33" spans="7:17" ht="16.5" thickTop="1" thickBot="1" x14ac:dyDescent="0.3">
      <c r="G33">
        <v>2025</v>
      </c>
      <c r="H33" s="32">
        <v>0.5</v>
      </c>
      <c r="I33" s="105" t="str">
        <f>+IF(H33=0.5,"Ganado",IF(H33=0.25,"Empatado",IF(H33&lt;0.25,"Perdido")))</f>
        <v>Ganado</v>
      </c>
      <c r="J33" s="103" t="s">
        <v>232</v>
      </c>
      <c r="K33" s="104">
        <v>0.5</v>
      </c>
      <c r="L33" s="105" t="str">
        <f>+IF(K33=0.5,"Ganado",IF(K33=0.25,"Empatado",IF(K33&lt;0.25,"Perdido")))</f>
        <v>Ganado</v>
      </c>
      <c r="M33" s="103" t="s">
        <v>232</v>
      </c>
      <c r="N33" s="104">
        <v>0</v>
      </c>
      <c r="O33" s="105" t="str">
        <f>+IF(N33=1,"Ganado",IF(N33=0.5,"Empatado",IF(N33&lt;0.5,"Perdido")))</f>
        <v>Perdido</v>
      </c>
      <c r="P33" s="103" t="s">
        <v>37</v>
      </c>
      <c r="Q33" s="34">
        <f>+H33+K33+N33</f>
        <v>1</v>
      </c>
    </row>
    <row r="34" spans="7:17" ht="16.5" thickTop="1" thickBot="1" x14ac:dyDescent="0.3">
      <c r="G34" s="19" t="s">
        <v>6</v>
      </c>
      <c r="H34" s="38">
        <f>SUM(H21:H33)</f>
        <v>3.5</v>
      </c>
      <c r="I34" s="101"/>
      <c r="J34" s="99"/>
      <c r="K34" s="100">
        <f>SUM(K21:K33)</f>
        <v>3.5</v>
      </c>
      <c r="L34" s="101"/>
      <c r="M34" s="99"/>
      <c r="N34" s="100">
        <f>SUM(N21:N33)</f>
        <v>9.5</v>
      </c>
      <c r="O34" s="101"/>
      <c r="P34" s="99"/>
      <c r="Q34" s="38">
        <f>SUM(Q21:Q33)</f>
        <v>16.5</v>
      </c>
    </row>
    <row r="38" spans="7:17" x14ac:dyDescent="0.25">
      <c r="J38" s="33"/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S34"/>
  <sheetViews>
    <sheetView zoomScale="70" zoomScaleNormal="70" workbookViewId="0">
      <selection activeCell="J33" sqref="J33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2" spans="3:17" ht="15.75" thickBot="1" x14ac:dyDescent="0.3"/>
    <row r="3" spans="3:17" ht="16.5" thickTop="1" thickBot="1" x14ac:dyDescent="0.3">
      <c r="C3" s="1" t="s">
        <v>0</v>
      </c>
      <c r="D3" s="2"/>
      <c r="E3" s="3" t="s">
        <v>34</v>
      </c>
      <c r="G3" s="4" t="s">
        <v>2</v>
      </c>
      <c r="H3" s="4" t="s">
        <v>3</v>
      </c>
      <c r="I3" s="4"/>
      <c r="J3" s="4"/>
      <c r="K3" s="4" t="s">
        <v>4</v>
      </c>
      <c r="L3" s="4"/>
      <c r="M3" s="4"/>
      <c r="N3" s="4" t="s">
        <v>5</v>
      </c>
      <c r="O3" s="4"/>
      <c r="P3" s="4"/>
      <c r="Q3" s="4" t="s">
        <v>6</v>
      </c>
    </row>
    <row r="4" spans="3:17" ht="16.5" thickTop="1" thickBot="1" x14ac:dyDescent="0.3">
      <c r="C4" s="5" t="s">
        <v>7</v>
      </c>
      <c r="D4" s="6"/>
      <c r="E4" s="7" t="s">
        <v>71</v>
      </c>
      <c r="G4">
        <v>2014</v>
      </c>
      <c r="H4" s="9">
        <f t="shared" ref="H4:H13" si="0">+COUNTIF($H22:$Q22,"Ganado")</f>
        <v>2</v>
      </c>
      <c r="I4" s="9"/>
      <c r="J4" s="9"/>
      <c r="K4" s="9">
        <f t="shared" ref="K4:K13" si="1">+COUNTIF($H22:$Q22,"Empatado")</f>
        <v>0</v>
      </c>
      <c r="L4" s="9"/>
      <c r="M4" s="9"/>
      <c r="N4" s="9">
        <f t="shared" ref="N4:N13" si="2">+COUNTIF($H22:$Q22,"Perdido")</f>
        <v>1</v>
      </c>
      <c r="O4" s="10"/>
      <c r="P4" s="10"/>
      <c r="Q4">
        <f t="shared" ref="Q4:Q9" si="3">+SUM(H4:N4)</f>
        <v>3</v>
      </c>
    </row>
    <row r="5" spans="3:17" ht="15.75" thickTop="1" x14ac:dyDescent="0.25">
      <c r="C5" s="11"/>
      <c r="E5" s="12"/>
      <c r="G5">
        <v>2015</v>
      </c>
      <c r="H5" s="9">
        <f t="shared" si="0"/>
        <v>0</v>
      </c>
      <c r="I5" s="9"/>
      <c r="J5" s="9"/>
      <c r="K5" s="9">
        <f t="shared" si="1"/>
        <v>2</v>
      </c>
      <c r="L5" s="9"/>
      <c r="M5" s="9"/>
      <c r="N5" s="9">
        <f t="shared" si="2"/>
        <v>1</v>
      </c>
      <c r="O5" s="10"/>
      <c r="P5" s="10"/>
      <c r="Q5">
        <f t="shared" si="3"/>
        <v>3</v>
      </c>
    </row>
    <row r="6" spans="3:17" x14ac:dyDescent="0.25">
      <c r="C6" s="11" t="s">
        <v>9</v>
      </c>
      <c r="E6" s="13">
        <f>+COUNT(G4:G15)</f>
        <v>12</v>
      </c>
      <c r="F6" s="14"/>
      <c r="G6">
        <v>2016</v>
      </c>
      <c r="H6" s="9">
        <f t="shared" si="0"/>
        <v>1</v>
      </c>
      <c r="I6" s="9"/>
      <c r="J6" s="9"/>
      <c r="K6" s="9">
        <f t="shared" si="1"/>
        <v>0</v>
      </c>
      <c r="L6" s="9"/>
      <c r="M6" s="9"/>
      <c r="N6" s="9">
        <f t="shared" si="2"/>
        <v>2</v>
      </c>
      <c r="O6" s="10"/>
      <c r="P6" s="10"/>
      <c r="Q6">
        <f t="shared" si="3"/>
        <v>3</v>
      </c>
    </row>
    <row r="7" spans="3:17" x14ac:dyDescent="0.25">
      <c r="C7" s="11" t="s">
        <v>10</v>
      </c>
      <c r="E7" s="15">
        <f>+E6*2</f>
        <v>24</v>
      </c>
      <c r="G7">
        <v>2017</v>
      </c>
      <c r="H7" s="9">
        <f t="shared" si="0"/>
        <v>2</v>
      </c>
      <c r="I7" s="9"/>
      <c r="J7" s="9"/>
      <c r="K7" s="9">
        <f t="shared" si="1"/>
        <v>0</v>
      </c>
      <c r="L7" s="9"/>
      <c r="M7" s="9"/>
      <c r="N7" s="9">
        <f t="shared" si="2"/>
        <v>1</v>
      </c>
      <c r="O7" s="10"/>
      <c r="P7" s="10"/>
      <c r="Q7">
        <f t="shared" si="3"/>
        <v>3</v>
      </c>
    </row>
    <row r="8" spans="3:17" x14ac:dyDescent="0.25">
      <c r="C8" s="11" t="s">
        <v>11</v>
      </c>
      <c r="E8" s="15">
        <f>+Q34</f>
        <v>11.5</v>
      </c>
      <c r="G8">
        <v>2018</v>
      </c>
      <c r="H8" s="9">
        <f t="shared" si="0"/>
        <v>1</v>
      </c>
      <c r="I8" s="9"/>
      <c r="J8" s="9"/>
      <c r="K8" s="9">
        <f t="shared" si="1"/>
        <v>0</v>
      </c>
      <c r="L8" s="9"/>
      <c r="M8" s="9"/>
      <c r="N8" s="9">
        <f t="shared" si="2"/>
        <v>2</v>
      </c>
      <c r="O8" s="10"/>
      <c r="P8" s="10"/>
      <c r="Q8">
        <f t="shared" ref="Q8" si="4">+SUM(H8:N8)</f>
        <v>3</v>
      </c>
    </row>
    <row r="9" spans="3:17" ht="15.75" thickBot="1" x14ac:dyDescent="0.3">
      <c r="C9" s="16" t="s">
        <v>12</v>
      </c>
      <c r="D9" s="17"/>
      <c r="E9" s="18">
        <f>+E8/E7</f>
        <v>0.47916666666666669</v>
      </c>
      <c r="G9">
        <v>2019</v>
      </c>
      <c r="H9" s="9">
        <f t="shared" si="0"/>
        <v>0</v>
      </c>
      <c r="I9" s="9"/>
      <c r="J9" s="9"/>
      <c r="K9" s="9">
        <f t="shared" si="1"/>
        <v>1</v>
      </c>
      <c r="L9" s="9"/>
      <c r="M9" s="9"/>
      <c r="N9" s="9">
        <f t="shared" si="2"/>
        <v>2</v>
      </c>
      <c r="O9" s="10"/>
      <c r="P9" s="10"/>
      <c r="Q9">
        <f t="shared" si="3"/>
        <v>3</v>
      </c>
    </row>
    <row r="10" spans="3:17" ht="15.75" thickTop="1" x14ac:dyDescent="0.25">
      <c r="G10">
        <v>2020</v>
      </c>
      <c r="H10" s="9">
        <f t="shared" si="0"/>
        <v>1</v>
      </c>
      <c r="I10" s="9"/>
      <c r="J10" s="9"/>
      <c r="K10" s="9">
        <f t="shared" si="1"/>
        <v>2</v>
      </c>
      <c r="L10" s="9"/>
      <c r="M10" s="9"/>
      <c r="N10" s="9">
        <f t="shared" si="2"/>
        <v>0</v>
      </c>
      <c r="O10" s="10"/>
      <c r="P10" s="10"/>
      <c r="Q10">
        <f t="shared" ref="Q10:Q11" si="5">+SUM(H10:N10)</f>
        <v>3</v>
      </c>
    </row>
    <row r="11" spans="3:17" ht="15.75" thickBot="1" x14ac:dyDescent="0.3">
      <c r="C11" s="4" t="s">
        <v>14</v>
      </c>
      <c r="D11" s="4">
        <f>+SUM(D12:D14)</f>
        <v>36</v>
      </c>
      <c r="E11" s="20" t="s">
        <v>15</v>
      </c>
      <c r="G11">
        <v>2021</v>
      </c>
      <c r="H11" s="9">
        <f t="shared" si="0"/>
        <v>1</v>
      </c>
      <c r="I11" s="9"/>
      <c r="J11" s="9"/>
      <c r="K11" s="9">
        <f t="shared" si="1"/>
        <v>0</v>
      </c>
      <c r="L11" s="9"/>
      <c r="M11" s="9"/>
      <c r="N11" s="9">
        <f t="shared" si="2"/>
        <v>2</v>
      </c>
      <c r="O11" s="10"/>
      <c r="P11" s="10"/>
      <c r="Q11">
        <f t="shared" si="5"/>
        <v>3</v>
      </c>
    </row>
    <row r="12" spans="3:17" ht="15.75" thickTop="1" x14ac:dyDescent="0.25">
      <c r="C12" s="21" t="s">
        <v>16</v>
      </c>
      <c r="D12">
        <f>+D17+D22+D27</f>
        <v>16</v>
      </c>
      <c r="E12" s="22">
        <f>+D12/D$11</f>
        <v>0.44444444444444442</v>
      </c>
      <c r="G12">
        <v>2022</v>
      </c>
      <c r="H12" s="9">
        <f t="shared" si="0"/>
        <v>2</v>
      </c>
      <c r="I12" s="9"/>
      <c r="J12" s="9"/>
      <c r="K12" s="9">
        <f t="shared" si="1"/>
        <v>0</v>
      </c>
      <c r="L12" s="9"/>
      <c r="M12" s="9"/>
      <c r="N12" s="9">
        <f t="shared" si="2"/>
        <v>1</v>
      </c>
      <c r="O12" s="10"/>
      <c r="P12" s="10"/>
      <c r="Q12">
        <f t="shared" ref="Q12" si="6">+SUM(H12:N12)</f>
        <v>3</v>
      </c>
    </row>
    <row r="13" spans="3:17" x14ac:dyDescent="0.25">
      <c r="C13" s="21" t="s">
        <v>23</v>
      </c>
      <c r="D13">
        <f>+D18+D23+D28</f>
        <v>5</v>
      </c>
      <c r="E13" s="22">
        <f>+D13/D$11</f>
        <v>0.1388888888888889</v>
      </c>
      <c r="G13">
        <v>2023</v>
      </c>
      <c r="H13" s="9">
        <f t="shared" si="0"/>
        <v>1</v>
      </c>
      <c r="I13" s="9"/>
      <c r="J13" s="9"/>
      <c r="K13" s="9">
        <f t="shared" si="1"/>
        <v>0</v>
      </c>
      <c r="L13" s="9"/>
      <c r="M13" s="9"/>
      <c r="N13" s="9">
        <f t="shared" si="2"/>
        <v>2</v>
      </c>
      <c r="O13" s="10"/>
      <c r="P13" s="10"/>
      <c r="Q13">
        <f t="shared" ref="Q13" si="7">+SUM(H13:N13)</f>
        <v>3</v>
      </c>
    </row>
    <row r="14" spans="3:17" x14ac:dyDescent="0.25">
      <c r="C14" s="21" t="s">
        <v>5</v>
      </c>
      <c r="D14">
        <f>+D19+D24+D29</f>
        <v>15</v>
      </c>
      <c r="E14" s="22">
        <f>+D14/D$11</f>
        <v>0.41666666666666669</v>
      </c>
      <c r="G14">
        <v>2024</v>
      </c>
      <c r="H14" s="9">
        <f t="shared" ref="H14:H15" si="8">+COUNTIF($H32:$Q32,"Ganado")</f>
        <v>2</v>
      </c>
      <c r="I14" s="9"/>
      <c r="J14" s="9"/>
      <c r="K14" s="9">
        <f t="shared" ref="K14:K15" si="9">+COUNTIF($H32:$Q32,"Empatado")</f>
        <v>0</v>
      </c>
      <c r="L14" s="9"/>
      <c r="M14" s="9"/>
      <c r="N14" s="9">
        <f t="shared" ref="N14:N15" si="10">+COUNTIF($H32:$Q32,"Perdido")</f>
        <v>1</v>
      </c>
      <c r="O14" s="10"/>
      <c r="P14" s="10"/>
      <c r="Q14">
        <f t="shared" ref="Q14:Q15" si="11">+SUM(H14:N14)</f>
        <v>3</v>
      </c>
    </row>
    <row r="15" spans="3:17" ht="15.75" thickBot="1" x14ac:dyDescent="0.3">
      <c r="G15">
        <v>2025</v>
      </c>
      <c r="H15" s="9">
        <f t="shared" si="8"/>
        <v>3</v>
      </c>
      <c r="I15" s="9"/>
      <c r="J15" s="9"/>
      <c r="K15" s="9">
        <f t="shared" si="9"/>
        <v>0</v>
      </c>
      <c r="L15" s="9"/>
      <c r="M15" s="9"/>
      <c r="N15" s="9">
        <f t="shared" si="10"/>
        <v>0</v>
      </c>
      <c r="O15" s="10"/>
      <c r="P15" s="10"/>
      <c r="Q15">
        <f t="shared" si="11"/>
        <v>3</v>
      </c>
    </row>
    <row r="16" spans="3:17" ht="16.5" thickTop="1" thickBot="1" x14ac:dyDescent="0.3">
      <c r="C16" s="4" t="s">
        <v>27</v>
      </c>
      <c r="D16" s="4">
        <f>+SUM(D17:D19)</f>
        <v>12</v>
      </c>
      <c r="E16" s="20" t="s">
        <v>15</v>
      </c>
      <c r="G16" s="19" t="s">
        <v>13</v>
      </c>
      <c r="H16" s="19">
        <f>SUM(H4:H11)</f>
        <v>8</v>
      </c>
      <c r="I16" s="19"/>
      <c r="J16" s="19"/>
      <c r="K16" s="19">
        <f>SUM(K4:K11)</f>
        <v>5</v>
      </c>
      <c r="L16" s="19"/>
      <c r="M16" s="19"/>
      <c r="N16" s="19">
        <f>SUM(N4:N11)</f>
        <v>11</v>
      </c>
      <c r="O16" s="19"/>
      <c r="P16" s="19"/>
      <c r="Q16" s="19">
        <f>SUM(Q4:Q15)</f>
        <v>36</v>
      </c>
    </row>
    <row r="17" spans="3:17" ht="15.75" thickTop="1" x14ac:dyDescent="0.25">
      <c r="C17" s="21" t="s">
        <v>29</v>
      </c>
      <c r="D17">
        <f>+COUNTIF($I$21:$I$33,"Ganado")</f>
        <v>8</v>
      </c>
      <c r="E17" s="22">
        <f>+D17/D$16</f>
        <v>0.66666666666666663</v>
      </c>
    </row>
    <row r="18" spans="3:17" ht="15.75" thickBot="1" x14ac:dyDescent="0.3">
      <c r="C18" s="21" t="s">
        <v>23</v>
      </c>
      <c r="D18">
        <f>+COUNTIF($I$21:$I$33,"Empatado")</f>
        <v>2</v>
      </c>
      <c r="E18" s="22">
        <f>+D18/D$16</f>
        <v>0.16666666666666666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C19" s="21" t="s">
        <v>5</v>
      </c>
      <c r="D19">
        <f>+COUNTIF($I$21:$I$33,"Perdido")</f>
        <v>2</v>
      </c>
      <c r="E19" s="22">
        <f>+D19/D$16</f>
        <v>0.16666666666666666</v>
      </c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x14ac:dyDescent="0.25">
      <c r="G20" s="29" t="s">
        <v>25</v>
      </c>
      <c r="H20" s="140">
        <f>H19*$E$6</f>
        <v>6</v>
      </c>
      <c r="I20" s="140"/>
      <c r="J20" s="139"/>
      <c r="K20" s="140">
        <f>K19*$E$6</f>
        <v>6</v>
      </c>
      <c r="L20" s="140"/>
      <c r="M20" s="139"/>
      <c r="N20" s="140">
        <f>N19*$E$6</f>
        <v>12</v>
      </c>
      <c r="O20" s="140"/>
      <c r="P20" s="139"/>
      <c r="Q20" s="29">
        <f>+SUM(H20:N20)</f>
        <v>24</v>
      </c>
    </row>
    <row r="21" spans="3:17" ht="15.75" thickBot="1" x14ac:dyDescent="0.3">
      <c r="C21" s="4" t="s">
        <v>32</v>
      </c>
      <c r="D21" s="4">
        <f>+SUM(D22:D24)</f>
        <v>12</v>
      </c>
      <c r="E21" s="20" t="s">
        <v>15</v>
      </c>
      <c r="G21" s="8">
        <v>2013</v>
      </c>
      <c r="H21" s="146"/>
      <c r="I21" s="144"/>
      <c r="J21" s="145"/>
      <c r="K21" s="146"/>
      <c r="L21" s="144"/>
      <c r="M21" s="145"/>
      <c r="N21" s="146"/>
      <c r="O21" s="144"/>
      <c r="P21" s="145"/>
      <c r="Q21" s="34">
        <f t="shared" ref="Q21:Q29" si="12">+H21+K21+N21</f>
        <v>0</v>
      </c>
    </row>
    <row r="22" spans="3:17" ht="15.75" thickTop="1" x14ac:dyDescent="0.25">
      <c r="C22" s="21" t="s">
        <v>16</v>
      </c>
      <c r="D22">
        <f>+COUNTIF($L$21:$L$33,"Ganado")</f>
        <v>4</v>
      </c>
      <c r="E22" s="22">
        <f>+D22/D$21</f>
        <v>0.33333333333333331</v>
      </c>
      <c r="G22">
        <f>+G21+1</f>
        <v>2014</v>
      </c>
      <c r="H22" s="32">
        <v>0</v>
      </c>
      <c r="I22" s="9" t="str">
        <f t="shared" ref="I22:I29" si="13">+IF(H22=0.5,"Ganado",IF(H22=0.25,"Empatado",IF(H22&lt;0.25,"Perdido")))</f>
        <v>Perdido</v>
      </c>
      <c r="J22" s="33" t="s">
        <v>72</v>
      </c>
      <c r="K22" s="32">
        <v>0.5</v>
      </c>
      <c r="L22" s="9" t="str">
        <f t="shared" ref="L22:L29" si="14">+IF(K22=0.5,"Ganado",IF(K22=0.25,"Empatado",IF(K22&lt;0.25,"Perdido")))</f>
        <v>Ganado</v>
      </c>
      <c r="M22" s="33" t="s">
        <v>72</v>
      </c>
      <c r="N22" s="32">
        <v>1</v>
      </c>
      <c r="O22" s="9" t="str">
        <f t="shared" ref="O22:O29" si="15">+IF(N22=1,"Ganado",IF(N22=0.5,"Empatado",IF(N22&lt;0.5,"Perdido")))</f>
        <v>Ganado</v>
      </c>
      <c r="P22" s="33" t="s">
        <v>41</v>
      </c>
      <c r="Q22" s="34">
        <f t="shared" si="12"/>
        <v>1.5</v>
      </c>
    </row>
    <row r="23" spans="3:17" x14ac:dyDescent="0.25">
      <c r="C23" s="21" t="s">
        <v>23</v>
      </c>
      <c r="D23">
        <f>+COUNTIF($L$21:$L$33,"Empatado")</f>
        <v>2</v>
      </c>
      <c r="E23" s="22">
        <f>+D23/D$21</f>
        <v>0.16666666666666666</v>
      </c>
      <c r="G23">
        <f t="shared" ref="G23:G24" si="16">+G22+1</f>
        <v>2015</v>
      </c>
      <c r="H23" s="32">
        <v>0.25</v>
      </c>
      <c r="I23" s="9" t="str">
        <f t="shared" si="13"/>
        <v>Empatado</v>
      </c>
      <c r="J23" s="33" t="s">
        <v>73</v>
      </c>
      <c r="K23" s="32">
        <v>0.25</v>
      </c>
      <c r="L23" s="9" t="str">
        <f t="shared" si="14"/>
        <v>Empatado</v>
      </c>
      <c r="M23" s="33" t="s">
        <v>73</v>
      </c>
      <c r="N23" s="32">
        <v>0</v>
      </c>
      <c r="O23" s="9" t="str">
        <f t="shared" si="15"/>
        <v>Perdido</v>
      </c>
      <c r="P23" s="33" t="s">
        <v>43</v>
      </c>
      <c r="Q23" s="34">
        <f t="shared" si="12"/>
        <v>0.5</v>
      </c>
    </row>
    <row r="24" spans="3:17" x14ac:dyDescent="0.25">
      <c r="C24" s="21" t="s">
        <v>5</v>
      </c>
      <c r="D24">
        <f>+COUNTIF($L$21:$L$33,"Perdido")</f>
        <v>6</v>
      </c>
      <c r="E24" s="22">
        <f>+D24/D$21</f>
        <v>0.5</v>
      </c>
      <c r="G24">
        <f t="shared" si="16"/>
        <v>2016</v>
      </c>
      <c r="H24" s="32">
        <v>0.5</v>
      </c>
      <c r="I24" s="9" t="str">
        <f t="shared" si="13"/>
        <v>Ganado</v>
      </c>
      <c r="J24" s="33" t="s">
        <v>75</v>
      </c>
      <c r="K24" s="32">
        <v>0</v>
      </c>
      <c r="L24" s="9" t="str">
        <f t="shared" si="14"/>
        <v>Perdido</v>
      </c>
      <c r="M24" s="33" t="s">
        <v>75</v>
      </c>
      <c r="N24" s="32">
        <v>0</v>
      </c>
      <c r="O24" s="9" t="str">
        <f t="shared" si="15"/>
        <v>Perdido</v>
      </c>
      <c r="P24" s="33" t="s">
        <v>39</v>
      </c>
      <c r="Q24" s="34">
        <f t="shared" si="12"/>
        <v>0.5</v>
      </c>
    </row>
    <row r="25" spans="3:17" x14ac:dyDescent="0.25">
      <c r="G25">
        <v>2017</v>
      </c>
      <c r="H25" s="32">
        <v>0.5</v>
      </c>
      <c r="I25" s="9" t="str">
        <f t="shared" si="13"/>
        <v>Ganado</v>
      </c>
      <c r="J25" s="33" t="s">
        <v>76</v>
      </c>
      <c r="K25" s="32">
        <v>0</v>
      </c>
      <c r="L25" s="9" t="str">
        <f t="shared" si="14"/>
        <v>Perdido</v>
      </c>
      <c r="M25" s="33" t="s">
        <v>76</v>
      </c>
      <c r="N25" s="32">
        <v>1</v>
      </c>
      <c r="O25" s="9" t="str">
        <f t="shared" si="15"/>
        <v>Ganado</v>
      </c>
      <c r="P25" s="33" t="s">
        <v>74</v>
      </c>
      <c r="Q25" s="34">
        <f t="shared" si="12"/>
        <v>1.5</v>
      </c>
    </row>
    <row r="26" spans="3:17" ht="15.75" thickBot="1" x14ac:dyDescent="0.3">
      <c r="C26" s="4" t="s">
        <v>33</v>
      </c>
      <c r="D26" s="4">
        <f>+SUM(D27:D29)</f>
        <v>12</v>
      </c>
      <c r="E26" s="20" t="s">
        <v>15</v>
      </c>
      <c r="G26">
        <v>2018</v>
      </c>
      <c r="H26" s="32">
        <v>0</v>
      </c>
      <c r="I26" s="9" t="str">
        <f t="shared" ref="I26" si="17">+IF(H26=0.5,"Ganado",IF(H26=0.25,"Empatado",IF(H26&lt;0.25,"Perdido")))</f>
        <v>Perdido</v>
      </c>
      <c r="J26" s="33" t="s">
        <v>77</v>
      </c>
      <c r="K26" s="32">
        <v>0</v>
      </c>
      <c r="L26" s="9" t="str">
        <f t="shared" ref="L26" si="18">+IF(K26=0.5,"Ganado",IF(K26=0.25,"Empatado",IF(K26&lt;0.25,"Perdido")))</f>
        <v>Perdido</v>
      </c>
      <c r="M26" s="33" t="s">
        <v>77</v>
      </c>
      <c r="N26" s="32">
        <v>1</v>
      </c>
      <c r="O26" s="9" t="str">
        <f t="shared" ref="O26" si="19">+IF(N26=1,"Ganado",IF(N26=0.5,"Empatado",IF(N26&lt;0.5,"Perdido")))</f>
        <v>Ganado</v>
      </c>
      <c r="P26" s="33" t="s">
        <v>74</v>
      </c>
      <c r="Q26" s="34">
        <f t="shared" ref="Q26" si="20">+H26+K26+N26</f>
        <v>1</v>
      </c>
    </row>
    <row r="27" spans="3:17" ht="15.75" thickTop="1" x14ac:dyDescent="0.25">
      <c r="C27" s="21" t="s">
        <v>16</v>
      </c>
      <c r="D27">
        <f>+COUNTIF($O$21:$O$33,"Ganado")</f>
        <v>4</v>
      </c>
      <c r="E27" s="22">
        <f>+D27/D$26</f>
        <v>0.33333333333333331</v>
      </c>
      <c r="G27">
        <v>2019</v>
      </c>
      <c r="H27" s="32">
        <v>0.25</v>
      </c>
      <c r="I27" s="9" t="str">
        <f t="shared" si="13"/>
        <v>Empatado</v>
      </c>
      <c r="J27" s="33" t="s">
        <v>124</v>
      </c>
      <c r="K27" s="32">
        <v>0</v>
      </c>
      <c r="L27" s="9" t="str">
        <f t="shared" si="14"/>
        <v>Perdido</v>
      </c>
      <c r="M27" s="33" t="s">
        <v>124</v>
      </c>
      <c r="N27" s="32">
        <v>0</v>
      </c>
      <c r="O27" s="9" t="str">
        <f t="shared" si="15"/>
        <v>Perdido</v>
      </c>
      <c r="P27" s="33" t="s">
        <v>79</v>
      </c>
      <c r="Q27" s="34">
        <f t="shared" si="12"/>
        <v>0.25</v>
      </c>
    </row>
    <row r="28" spans="3:17" x14ac:dyDescent="0.25">
      <c r="C28" s="21" t="s">
        <v>23</v>
      </c>
      <c r="D28">
        <f>+COUNTIF($O$21:$O$33,"Empatado")</f>
        <v>1</v>
      </c>
      <c r="E28" s="22">
        <f>+D28/D$26</f>
        <v>8.3333333333333329E-2</v>
      </c>
      <c r="G28">
        <v>2020</v>
      </c>
      <c r="H28" s="32">
        <v>0.5</v>
      </c>
      <c r="I28" s="9" t="str">
        <f t="shared" si="13"/>
        <v>Ganado</v>
      </c>
      <c r="J28" s="33" t="s">
        <v>150</v>
      </c>
      <c r="K28" s="32">
        <v>0.25</v>
      </c>
      <c r="L28" s="9" t="str">
        <f t="shared" si="14"/>
        <v>Empatado</v>
      </c>
      <c r="M28" s="33" t="s">
        <v>150</v>
      </c>
      <c r="N28" s="32">
        <v>0.5</v>
      </c>
      <c r="O28" s="9" t="str">
        <f t="shared" si="15"/>
        <v>Empatado</v>
      </c>
      <c r="P28" s="33" t="s">
        <v>147</v>
      </c>
      <c r="Q28" s="34">
        <f t="shared" si="12"/>
        <v>1.25</v>
      </c>
    </row>
    <row r="29" spans="3:17" x14ac:dyDescent="0.25">
      <c r="C29" s="21" t="s">
        <v>5</v>
      </c>
      <c r="D29">
        <f>+COUNTIF($O$21:$O$33,"Perdido")</f>
        <v>7</v>
      </c>
      <c r="E29" s="22">
        <f>+D29/D$26</f>
        <v>0.58333333333333337</v>
      </c>
      <c r="G29">
        <v>2021</v>
      </c>
      <c r="H29" s="32">
        <v>0.5</v>
      </c>
      <c r="I29" s="9" t="str">
        <f t="shared" si="13"/>
        <v>Ganado</v>
      </c>
      <c r="J29" s="33" t="s">
        <v>151</v>
      </c>
      <c r="K29" s="32">
        <v>0</v>
      </c>
      <c r="L29" s="9" t="str">
        <f t="shared" si="14"/>
        <v>Perdido</v>
      </c>
      <c r="M29" s="33" t="s">
        <v>151</v>
      </c>
      <c r="N29" s="32">
        <v>0</v>
      </c>
      <c r="O29" s="9" t="str">
        <f t="shared" si="15"/>
        <v>Perdido</v>
      </c>
      <c r="P29" s="33" t="s">
        <v>39</v>
      </c>
      <c r="Q29" s="34">
        <f t="shared" si="12"/>
        <v>0.5</v>
      </c>
    </row>
    <row r="30" spans="3:17" x14ac:dyDescent="0.25"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190</v>
      </c>
      <c r="K30" s="32">
        <v>0.5</v>
      </c>
      <c r="L30" s="9" t="str">
        <f>+IF(K30=0.5,"Ganado",IF(K30=0.25,"Empatado",IF(K30&lt;0.25,"Perdido")))</f>
        <v>Ganado</v>
      </c>
      <c r="M30" s="33" t="s">
        <v>190</v>
      </c>
      <c r="N30" s="32">
        <v>0</v>
      </c>
      <c r="O30" s="9" t="str">
        <f>+IF(N30=1,"Ganado",IF(N30=0.5,"Empatado",IF(N30&lt;0.5,"Perdido")))</f>
        <v>Perdido</v>
      </c>
      <c r="P30" s="33" t="s">
        <v>45</v>
      </c>
      <c r="Q30" s="34">
        <f>+H30+K30+N30</f>
        <v>1</v>
      </c>
    </row>
    <row r="31" spans="3:17" x14ac:dyDescent="0.25">
      <c r="G31">
        <v>2023</v>
      </c>
      <c r="H31" s="32">
        <v>0.5</v>
      </c>
      <c r="I31" s="9" t="str">
        <f>+IF(H31=0.5,"Ganado",IF(H31=0.25,"Empatado",IF(H31&lt;0.25,"Perdido")))</f>
        <v>Ganado</v>
      </c>
      <c r="J31" s="33" t="s">
        <v>209</v>
      </c>
      <c r="K31" s="32">
        <v>0</v>
      </c>
      <c r="L31" s="9" t="str">
        <f>+IF(K31=0.5,"Ganado",IF(K31=0.25,"Empatado",IF(K31&lt;0.25,"Perdido")))</f>
        <v>Perdido</v>
      </c>
      <c r="M31" s="33" t="s">
        <v>209</v>
      </c>
      <c r="N31" s="32">
        <v>0</v>
      </c>
      <c r="O31" s="9" t="str">
        <f>+IF(N31=1,"Ganado",IF(N31=0.5,"Empatado",IF(N31&lt;0.5,"Perdido")))</f>
        <v>Perdido</v>
      </c>
      <c r="P31" s="33" t="s">
        <v>39</v>
      </c>
      <c r="Q31" s="34">
        <f>+H31+K31+N31</f>
        <v>0.5</v>
      </c>
    </row>
    <row r="32" spans="3:17" ht="15.75" thickBot="1" x14ac:dyDescent="0.3">
      <c r="G32">
        <v>2024</v>
      </c>
      <c r="H32" s="104">
        <v>0.5</v>
      </c>
      <c r="I32" s="105" t="str">
        <f>+IF(H32=0.5,"Ganado",IF(H32=0.25,"Empatado",IF(H32&lt;0.25,"Perdido")))</f>
        <v>Ganado</v>
      </c>
      <c r="J32" s="103" t="s">
        <v>221</v>
      </c>
      <c r="K32" s="104">
        <v>0.5</v>
      </c>
      <c r="L32" s="105" t="str">
        <f>+IF(K32=0.5,"Ganado",IF(K32=0.25,"Empatado",IF(K32&lt;0.25,"Perdido")))</f>
        <v>Ganado</v>
      </c>
      <c r="M32" s="103" t="s">
        <v>221</v>
      </c>
      <c r="N32" s="104">
        <v>0</v>
      </c>
      <c r="O32" s="105" t="str">
        <f>+IF(N32=1,"Ganado",IF(N32=0.5,"Empatado",IF(N32&lt;0.5,"Perdido")))</f>
        <v>Perdido</v>
      </c>
      <c r="P32" s="103" t="s">
        <v>37</v>
      </c>
      <c r="Q32" s="34">
        <f>+H32+K32+N32</f>
        <v>1</v>
      </c>
    </row>
    <row r="33" spans="7:19" ht="16.5" thickTop="1" thickBot="1" x14ac:dyDescent="0.3">
      <c r="G33">
        <v>2025</v>
      </c>
      <c r="H33" s="104">
        <v>0.5</v>
      </c>
      <c r="I33" s="105" t="str">
        <f>+IF(H33=0.5,"Ganado",IF(H33=0.25,"Empatado",IF(H33&lt;0.25,"Perdido")))</f>
        <v>Ganado</v>
      </c>
      <c r="J33" s="103" t="s">
        <v>233</v>
      </c>
      <c r="K33" s="104">
        <v>0.5</v>
      </c>
      <c r="L33" s="105" t="str">
        <f>+IF(K33=0.5,"Ganado",IF(K33=0.25,"Empatado",IF(K33&lt;0.25,"Perdido")))</f>
        <v>Ganado</v>
      </c>
      <c r="M33" s="103" t="s">
        <v>233</v>
      </c>
      <c r="N33" s="104">
        <v>1</v>
      </c>
      <c r="O33" s="105" t="str">
        <f>+IF(N33=1,"Ganado",IF(N33=0.5,"Empatado",IF(N33&lt;0.5,"Perdido")))</f>
        <v>Ganado</v>
      </c>
      <c r="P33" s="103" t="s">
        <v>41</v>
      </c>
      <c r="Q33" s="34">
        <f>+H33+K33+N33</f>
        <v>2</v>
      </c>
    </row>
    <row r="34" spans="7:19" ht="16.5" thickTop="1" thickBot="1" x14ac:dyDescent="0.3">
      <c r="G34" s="19" t="s">
        <v>6</v>
      </c>
      <c r="H34" s="100">
        <f>SUM(H22:H33)</f>
        <v>4.5</v>
      </c>
      <c r="I34" s="101"/>
      <c r="J34" s="102"/>
      <c r="K34" s="100">
        <f>SUM(K22:K33)</f>
        <v>2.5</v>
      </c>
      <c r="L34" s="101"/>
      <c r="M34" s="99"/>
      <c r="N34" s="100">
        <f>SUM(N21:N33)</f>
        <v>4.5</v>
      </c>
      <c r="O34" s="101"/>
      <c r="P34" s="99"/>
      <c r="Q34" s="38">
        <f>SUM(Q21:Q33)</f>
        <v>11.5</v>
      </c>
      <c r="S34" s="34"/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Q34"/>
  <sheetViews>
    <sheetView topLeftCell="B1" zoomScale="70" zoomScaleNormal="70" workbookViewId="0">
      <selection activeCell="J33" sqref="J33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2" spans="3:17" ht="15.75" thickBot="1" x14ac:dyDescent="0.3"/>
    <row r="3" spans="3:17" ht="16.5" thickTop="1" thickBot="1" x14ac:dyDescent="0.3">
      <c r="C3" s="1" t="s">
        <v>0</v>
      </c>
      <c r="D3" s="2"/>
      <c r="E3" s="3" t="s">
        <v>34</v>
      </c>
      <c r="G3" s="4" t="s">
        <v>2</v>
      </c>
      <c r="H3" s="4" t="s">
        <v>3</v>
      </c>
      <c r="I3" s="4"/>
      <c r="J3" s="4"/>
      <c r="K3" s="4" t="s">
        <v>4</v>
      </c>
      <c r="L3" s="4"/>
      <c r="M3" s="4"/>
      <c r="N3" s="4" t="s">
        <v>5</v>
      </c>
      <c r="O3" s="4"/>
      <c r="P3" s="4"/>
      <c r="Q3" s="4" t="s">
        <v>6</v>
      </c>
    </row>
    <row r="4" spans="3:17" ht="16.5" thickTop="1" thickBot="1" x14ac:dyDescent="0.3">
      <c r="C4" s="5" t="s">
        <v>7</v>
      </c>
      <c r="D4" s="6"/>
      <c r="E4" s="7" t="s">
        <v>26</v>
      </c>
      <c r="G4" s="8">
        <v>2013</v>
      </c>
      <c r="H4" s="9">
        <f>+COUNTIF($H21:$Q21,"Ganado")</f>
        <v>1</v>
      </c>
      <c r="I4" s="9"/>
      <c r="J4" s="9"/>
      <c r="K4" s="9">
        <f>+COUNTIF($H21:$Q21,"Empatado")</f>
        <v>0</v>
      </c>
      <c r="L4" s="9"/>
      <c r="M4" s="9"/>
      <c r="N4" s="9">
        <f>+COUNTIF($H21:$Q21,"Perdido")</f>
        <v>2</v>
      </c>
      <c r="O4" s="10"/>
      <c r="P4" s="10"/>
      <c r="Q4">
        <f t="shared" ref="Q4:Q9" si="0">+SUM(H4:N4)</f>
        <v>3</v>
      </c>
    </row>
    <row r="5" spans="3:17" ht="15.75" thickTop="1" x14ac:dyDescent="0.25">
      <c r="C5" s="11"/>
      <c r="E5" s="12"/>
      <c r="G5">
        <v>2014</v>
      </c>
      <c r="H5" s="9">
        <f>+COUNTIF($H22:$Q22,"Ganado")</f>
        <v>1</v>
      </c>
      <c r="I5" s="9"/>
      <c r="J5" s="9"/>
      <c r="K5" s="9">
        <f>+COUNTIF($H22:$Q22,"Empatado")</f>
        <v>1</v>
      </c>
      <c r="L5" s="9"/>
      <c r="M5" s="9"/>
      <c r="N5" s="9">
        <f>+COUNTIF($H22:$Q22,"Perdido")</f>
        <v>1</v>
      </c>
      <c r="O5" s="10"/>
      <c r="P5" s="10"/>
      <c r="Q5">
        <f t="shared" si="0"/>
        <v>3</v>
      </c>
    </row>
    <row r="6" spans="3:17" x14ac:dyDescent="0.25">
      <c r="C6" s="11" t="s">
        <v>9</v>
      </c>
      <c r="E6" s="13">
        <f>+COUNT(G4:G15)</f>
        <v>12</v>
      </c>
      <c r="F6" s="14"/>
      <c r="G6">
        <v>2016</v>
      </c>
      <c r="H6" s="9">
        <f>+COUNTIF($H24:$Q24,"Ganado")</f>
        <v>0</v>
      </c>
      <c r="I6" s="9"/>
      <c r="J6" s="9"/>
      <c r="K6" s="9">
        <f>+COUNTIF($H24:$Q24,"Empatado")</f>
        <v>1</v>
      </c>
      <c r="L6" s="9"/>
      <c r="M6" s="9"/>
      <c r="N6" s="9">
        <f>+COUNTIF($H24:$Q24,"Perdido")</f>
        <v>2</v>
      </c>
      <c r="O6" s="10"/>
      <c r="P6" s="10"/>
      <c r="Q6">
        <f t="shared" si="0"/>
        <v>3</v>
      </c>
    </row>
    <row r="7" spans="3:17" x14ac:dyDescent="0.25">
      <c r="C7" s="11" t="s">
        <v>10</v>
      </c>
      <c r="E7" s="15">
        <f>+E6*2</f>
        <v>24</v>
      </c>
      <c r="G7">
        <v>2017</v>
      </c>
      <c r="H7" s="9">
        <f>+COUNTIF($H25:$Q25,"Ganado")</f>
        <v>0</v>
      </c>
      <c r="I7" s="9"/>
      <c r="J7" s="9"/>
      <c r="K7" s="9">
        <f>+COUNTIF($H25:$Q25,"Empatado")</f>
        <v>1</v>
      </c>
      <c r="L7" s="9"/>
      <c r="M7" s="9"/>
      <c r="N7" s="9">
        <f>+COUNTIF($H25:$Q25,"Perdido")</f>
        <v>2</v>
      </c>
      <c r="O7" s="10"/>
      <c r="P7" s="10"/>
      <c r="Q7">
        <f t="shared" si="0"/>
        <v>3</v>
      </c>
    </row>
    <row r="8" spans="3:17" x14ac:dyDescent="0.25">
      <c r="C8" s="11" t="s">
        <v>11</v>
      </c>
      <c r="E8" s="15">
        <f>+Q34</f>
        <v>10</v>
      </c>
      <c r="G8">
        <v>2018</v>
      </c>
      <c r="H8" s="9">
        <f t="shared" ref="H8:H11" si="1">+COUNTIF($H26:$Q26,"Ganado")</f>
        <v>1</v>
      </c>
      <c r="I8" s="9"/>
      <c r="J8" s="9"/>
      <c r="K8" s="9">
        <f t="shared" ref="K8:K11" si="2">+COUNTIF($H26:$Q26,"Empatado")</f>
        <v>0</v>
      </c>
      <c r="L8" s="9"/>
      <c r="M8" s="9"/>
      <c r="N8" s="9">
        <f t="shared" ref="N8:N11" si="3">+COUNTIF($H26:$Q26,"Perdido")</f>
        <v>2</v>
      </c>
      <c r="O8" s="10"/>
      <c r="P8" s="10"/>
      <c r="Q8">
        <f t="shared" ref="Q8" si="4">+SUM(H8:N8)</f>
        <v>3</v>
      </c>
    </row>
    <row r="9" spans="3:17" ht="15.75" thickBot="1" x14ac:dyDescent="0.3">
      <c r="C9" s="16" t="s">
        <v>12</v>
      </c>
      <c r="D9" s="17"/>
      <c r="E9" s="18">
        <f>+E8/E7</f>
        <v>0.41666666666666669</v>
      </c>
      <c r="G9">
        <v>2019</v>
      </c>
      <c r="H9" s="9">
        <f t="shared" si="1"/>
        <v>2</v>
      </c>
      <c r="I9" s="9"/>
      <c r="J9" s="9"/>
      <c r="K9" s="9">
        <f t="shared" si="2"/>
        <v>0</v>
      </c>
      <c r="L9" s="9"/>
      <c r="M9" s="9"/>
      <c r="N9" s="9">
        <f t="shared" si="3"/>
        <v>1</v>
      </c>
      <c r="O9" s="10"/>
      <c r="P9" s="10"/>
      <c r="Q9">
        <f t="shared" si="0"/>
        <v>3</v>
      </c>
    </row>
    <row r="10" spans="3:17" ht="15.75" thickTop="1" x14ac:dyDescent="0.25">
      <c r="G10">
        <v>2020</v>
      </c>
      <c r="H10" s="9">
        <f t="shared" si="1"/>
        <v>0</v>
      </c>
      <c r="I10" s="9"/>
      <c r="J10" s="9"/>
      <c r="K10" s="9">
        <f t="shared" si="2"/>
        <v>1</v>
      </c>
      <c r="L10" s="9"/>
      <c r="M10" s="9"/>
      <c r="N10" s="9">
        <f t="shared" si="3"/>
        <v>2</v>
      </c>
      <c r="O10" s="10"/>
      <c r="P10" s="10"/>
      <c r="Q10">
        <f t="shared" ref="Q10:Q11" si="5">+SUM(H10:N10)</f>
        <v>3</v>
      </c>
    </row>
    <row r="11" spans="3:17" ht="15.75" thickBot="1" x14ac:dyDescent="0.3">
      <c r="C11" s="4" t="s">
        <v>14</v>
      </c>
      <c r="D11" s="4">
        <f>+SUM(D12:D14)</f>
        <v>36</v>
      </c>
      <c r="E11" s="20" t="s">
        <v>15</v>
      </c>
      <c r="G11">
        <v>2021</v>
      </c>
      <c r="H11" s="9">
        <f t="shared" si="1"/>
        <v>2</v>
      </c>
      <c r="I11" s="9"/>
      <c r="J11" s="9"/>
      <c r="K11" s="9">
        <f t="shared" si="2"/>
        <v>0</v>
      </c>
      <c r="L11" s="9"/>
      <c r="M11" s="9"/>
      <c r="N11" s="9">
        <f t="shared" si="3"/>
        <v>1</v>
      </c>
      <c r="O11" s="10"/>
      <c r="P11" s="10"/>
      <c r="Q11">
        <f t="shared" si="5"/>
        <v>3</v>
      </c>
    </row>
    <row r="12" spans="3:17" ht="15.75" thickTop="1" x14ac:dyDescent="0.25">
      <c r="C12" s="21" t="s">
        <v>16</v>
      </c>
      <c r="D12">
        <f>+D17+D22+D27</f>
        <v>11</v>
      </c>
      <c r="E12" s="22">
        <f>+D12/D$11</f>
        <v>0.30555555555555558</v>
      </c>
      <c r="G12">
        <v>2022</v>
      </c>
      <c r="H12" s="9">
        <f>+COUNTIF($H30:$Q30,"Ganado")</f>
        <v>1</v>
      </c>
      <c r="I12" s="9"/>
      <c r="J12" s="9"/>
      <c r="K12" s="9">
        <f>+COUNTIF($H30:$Q30,"Empatado")</f>
        <v>0</v>
      </c>
      <c r="L12" s="9"/>
      <c r="M12" s="9"/>
      <c r="N12" s="9">
        <f>+COUNTIF($H30:$Q30,"Perdido")</f>
        <v>2</v>
      </c>
      <c r="O12" s="10"/>
      <c r="P12" s="10"/>
      <c r="Q12">
        <f t="shared" ref="Q12" si="6">+SUM(H12:N12)</f>
        <v>3</v>
      </c>
    </row>
    <row r="13" spans="3:17" x14ac:dyDescent="0.25">
      <c r="C13" s="21" t="s">
        <v>23</v>
      </c>
      <c r="D13">
        <f>+D18+D23+D28</f>
        <v>8</v>
      </c>
      <c r="E13" s="22">
        <f>+D13/D$11</f>
        <v>0.22222222222222221</v>
      </c>
      <c r="G13">
        <v>2023</v>
      </c>
      <c r="H13" s="9">
        <f>+COUNTIF($H31:$Q31,"Ganado")</f>
        <v>0</v>
      </c>
      <c r="I13" s="9"/>
      <c r="J13" s="9"/>
      <c r="K13" s="9">
        <f>+COUNTIF($H31:$Q31,"Empatado")</f>
        <v>2</v>
      </c>
      <c r="L13" s="9"/>
      <c r="M13" s="9"/>
      <c r="N13" s="9">
        <f>+COUNTIF($H31:$Q31,"Perdido")</f>
        <v>1</v>
      </c>
      <c r="O13" s="10"/>
      <c r="P13" s="10"/>
      <c r="Q13">
        <f t="shared" ref="Q13" si="7">+SUM(H13:N13)</f>
        <v>3</v>
      </c>
    </row>
    <row r="14" spans="3:17" x14ac:dyDescent="0.25">
      <c r="C14" s="21" t="s">
        <v>5</v>
      </c>
      <c r="D14">
        <f>+D19+D24+D29</f>
        <v>17</v>
      </c>
      <c r="E14" s="22">
        <f>+D14/D$11</f>
        <v>0.47222222222222221</v>
      </c>
      <c r="G14">
        <v>2024</v>
      </c>
      <c r="H14" s="9">
        <f t="shared" ref="H14:H15" si="8">+COUNTIF($H32:$Q32,"Ganado")</f>
        <v>3</v>
      </c>
      <c r="I14" s="9"/>
      <c r="J14" s="9"/>
      <c r="K14" s="9">
        <f t="shared" ref="K14:K15" si="9">+COUNTIF($H32:$Q32,"Empatado")</f>
        <v>0</v>
      </c>
      <c r="L14" s="9"/>
      <c r="M14" s="9"/>
      <c r="N14" s="9">
        <f t="shared" ref="N14:N15" si="10">+COUNTIF($H32:$Q32,"Perdido")</f>
        <v>0</v>
      </c>
      <c r="O14" s="10"/>
      <c r="P14" s="10"/>
      <c r="Q14">
        <f t="shared" ref="Q14:Q15" si="11">+SUM(H14:N14)</f>
        <v>3</v>
      </c>
    </row>
    <row r="15" spans="3:17" ht="15.75" thickBot="1" x14ac:dyDescent="0.3">
      <c r="G15">
        <v>2025</v>
      </c>
      <c r="H15" s="9">
        <f t="shared" si="8"/>
        <v>0</v>
      </c>
      <c r="I15" s="9"/>
      <c r="J15" s="9"/>
      <c r="K15" s="9">
        <f t="shared" si="9"/>
        <v>2</v>
      </c>
      <c r="L15" s="9"/>
      <c r="M15" s="9"/>
      <c r="N15" s="9">
        <f t="shared" si="10"/>
        <v>1</v>
      </c>
      <c r="O15" s="10"/>
      <c r="P15" s="10"/>
      <c r="Q15">
        <f t="shared" si="11"/>
        <v>3</v>
      </c>
    </row>
    <row r="16" spans="3:17" ht="16.5" thickTop="1" thickBot="1" x14ac:dyDescent="0.3">
      <c r="C16" s="4" t="s">
        <v>27</v>
      </c>
      <c r="D16" s="4">
        <f>+SUM(D17:D19)</f>
        <v>12</v>
      </c>
      <c r="E16" s="20" t="s">
        <v>15</v>
      </c>
      <c r="G16" s="19" t="s">
        <v>13</v>
      </c>
      <c r="H16" s="19">
        <f>+SUM(H4:H15)</f>
        <v>11</v>
      </c>
      <c r="I16" s="19"/>
      <c r="J16" s="19"/>
      <c r="K16" s="19">
        <f>+SUM(K4:K15)</f>
        <v>8</v>
      </c>
      <c r="L16" s="19"/>
      <c r="M16" s="19"/>
      <c r="N16" s="19">
        <f>+SUM(N4:N15)</f>
        <v>17</v>
      </c>
      <c r="O16" s="19"/>
      <c r="P16" s="19"/>
      <c r="Q16" s="19">
        <f>SUM(Q4:Q15)</f>
        <v>36</v>
      </c>
    </row>
    <row r="17" spans="3:17" ht="15.75" thickTop="1" x14ac:dyDescent="0.25">
      <c r="C17" s="21" t="s">
        <v>29</v>
      </c>
      <c r="D17">
        <f>+COUNTIF($I$21:$I$33,"Ganado")</f>
        <v>4</v>
      </c>
      <c r="E17" s="22">
        <f>+D17/D$16</f>
        <v>0.33333333333333331</v>
      </c>
    </row>
    <row r="18" spans="3:17" ht="15.75" thickBot="1" x14ac:dyDescent="0.3">
      <c r="C18" s="21" t="s">
        <v>23</v>
      </c>
      <c r="D18">
        <f>+COUNTIF($I$21:$I$33,"Empatado")</f>
        <v>3</v>
      </c>
      <c r="E18" s="22">
        <f>+D18/D$16</f>
        <v>0.25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C19" s="21" t="s">
        <v>5</v>
      </c>
      <c r="D19">
        <f>+COUNTIF($I$21:$I$33,"Perdido")</f>
        <v>5</v>
      </c>
      <c r="E19" s="22">
        <f>+D19/D$16</f>
        <v>0.41666666666666669</v>
      </c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x14ac:dyDescent="0.25">
      <c r="G20" s="29" t="s">
        <v>25</v>
      </c>
      <c r="H20" s="30">
        <f>H19*$E$6</f>
        <v>6</v>
      </c>
      <c r="I20" s="140"/>
      <c r="J20" s="139"/>
      <c r="K20" s="140">
        <f>K19*$E$6</f>
        <v>6</v>
      </c>
      <c r="L20" s="140"/>
      <c r="M20" s="139"/>
      <c r="N20" s="140">
        <f>N19*$E$6</f>
        <v>12</v>
      </c>
      <c r="O20" s="140"/>
      <c r="P20" s="139"/>
      <c r="Q20" s="29">
        <f>+SUM(H20:N20)</f>
        <v>24</v>
      </c>
    </row>
    <row r="21" spans="3:17" ht="15.75" thickBot="1" x14ac:dyDescent="0.3">
      <c r="C21" s="4" t="s">
        <v>32</v>
      </c>
      <c r="D21" s="4">
        <f>+SUM(D22:D24)</f>
        <v>12</v>
      </c>
      <c r="E21" s="20" t="s">
        <v>15</v>
      </c>
      <c r="G21" s="8">
        <v>2013</v>
      </c>
      <c r="H21" s="32">
        <v>0</v>
      </c>
      <c r="I21" s="144" t="str">
        <f t="shared" ref="I21:I29" si="12">+IF(H21=0.5,"Ganado",IF(H21=0.25,"Empatado",IF(H21&lt;0.25,"Perdido")))</f>
        <v>Perdido</v>
      </c>
      <c r="J21" s="145" t="s">
        <v>62</v>
      </c>
      <c r="K21" s="146">
        <v>0.5</v>
      </c>
      <c r="L21" s="144" t="str">
        <f t="shared" ref="L21:L29" si="13">+IF(K21=0.5,"Ganado",IF(K21=0.25,"Empatado",IF(K21&lt;0.25,"Perdido")))</f>
        <v>Ganado</v>
      </c>
      <c r="M21" s="145" t="s">
        <v>62</v>
      </c>
      <c r="N21" s="146">
        <v>0</v>
      </c>
      <c r="O21" s="144" t="str">
        <f t="shared" ref="O21:O29" si="14">+IF(N21=1,"Ganado",IF(N21=0.5,"Empatado",IF(N21&lt;0.5,"Perdido")))</f>
        <v>Perdido</v>
      </c>
      <c r="P21" s="145" t="s">
        <v>8</v>
      </c>
      <c r="Q21" s="34">
        <f t="shared" ref="Q21:Q29" si="15">+H21+K21+N21</f>
        <v>0.5</v>
      </c>
    </row>
    <row r="22" spans="3:17" ht="15.75" thickTop="1" x14ac:dyDescent="0.25">
      <c r="C22" s="21" t="s">
        <v>16</v>
      </c>
      <c r="D22">
        <f>+COUNTIF($L$21:$L$33,"Ganado")</f>
        <v>2</v>
      </c>
      <c r="E22" s="22">
        <f>+D22/D$21</f>
        <v>0.16666666666666666</v>
      </c>
      <c r="G22">
        <f>+G21+1</f>
        <v>2014</v>
      </c>
      <c r="H22" s="32">
        <v>0</v>
      </c>
      <c r="I22" s="9" t="str">
        <f t="shared" si="12"/>
        <v>Perdido</v>
      </c>
      <c r="J22" s="33" t="s">
        <v>63</v>
      </c>
      <c r="K22" s="32">
        <v>0.25</v>
      </c>
      <c r="L22" s="9" t="str">
        <f t="shared" si="13"/>
        <v>Empatado</v>
      </c>
      <c r="M22" s="33" t="s">
        <v>63</v>
      </c>
      <c r="N22" s="32">
        <v>1</v>
      </c>
      <c r="O22" s="9" t="str">
        <f t="shared" si="14"/>
        <v>Ganado</v>
      </c>
      <c r="P22" s="33" t="s">
        <v>37</v>
      </c>
      <c r="Q22" s="34">
        <f t="shared" si="15"/>
        <v>1.25</v>
      </c>
    </row>
    <row r="23" spans="3:17" x14ac:dyDescent="0.25">
      <c r="C23" s="21" t="s">
        <v>23</v>
      </c>
      <c r="D23">
        <f>+COUNTIF($L$21:$L$33,"Empatado")</f>
        <v>5</v>
      </c>
      <c r="E23" s="22">
        <f>+D23/D$21</f>
        <v>0.41666666666666669</v>
      </c>
      <c r="G23">
        <f t="shared" ref="G23:G24" si="16">+G22+1</f>
        <v>2015</v>
      </c>
      <c r="H23" s="32"/>
      <c r="I23" s="9"/>
      <c r="J23" s="33"/>
      <c r="K23" s="32"/>
      <c r="L23" s="9"/>
      <c r="M23" s="33"/>
      <c r="N23" s="32"/>
      <c r="O23" s="9"/>
      <c r="P23" s="33"/>
      <c r="Q23" s="34">
        <f t="shared" si="15"/>
        <v>0</v>
      </c>
    </row>
    <row r="24" spans="3:17" x14ac:dyDescent="0.25">
      <c r="C24" s="21" t="s">
        <v>5</v>
      </c>
      <c r="D24">
        <f>+COUNTIF($L$21:$L$33,"Perdido")</f>
        <v>5</v>
      </c>
      <c r="E24" s="22">
        <f>+D24/D$21</f>
        <v>0.41666666666666669</v>
      </c>
      <c r="G24">
        <f t="shared" si="16"/>
        <v>2016</v>
      </c>
      <c r="H24" s="32">
        <v>0.25</v>
      </c>
      <c r="I24" s="9" t="str">
        <f t="shared" si="12"/>
        <v>Empatado</v>
      </c>
      <c r="J24" s="33" t="s">
        <v>64</v>
      </c>
      <c r="K24" s="32">
        <v>0</v>
      </c>
      <c r="L24" s="9" t="str">
        <f t="shared" si="13"/>
        <v>Perdido</v>
      </c>
      <c r="M24" s="33" t="s">
        <v>64</v>
      </c>
      <c r="N24" s="32">
        <v>0</v>
      </c>
      <c r="O24" s="9" t="str">
        <f t="shared" si="14"/>
        <v>Perdido</v>
      </c>
      <c r="P24" s="33" t="s">
        <v>37</v>
      </c>
      <c r="Q24" s="34">
        <f t="shared" si="15"/>
        <v>0.25</v>
      </c>
    </row>
    <row r="25" spans="3:17" x14ac:dyDescent="0.25">
      <c r="G25">
        <v>2017</v>
      </c>
      <c r="H25" s="32">
        <v>0</v>
      </c>
      <c r="I25" s="9" t="str">
        <f t="shared" si="12"/>
        <v>Perdido</v>
      </c>
      <c r="J25" s="33" t="s">
        <v>65</v>
      </c>
      <c r="K25" s="32">
        <v>0.25</v>
      </c>
      <c r="L25" s="9" t="str">
        <f t="shared" si="13"/>
        <v>Empatado</v>
      </c>
      <c r="M25" s="33" t="s">
        <v>65</v>
      </c>
      <c r="N25" s="32">
        <v>0</v>
      </c>
      <c r="O25" s="9" t="str">
        <f t="shared" si="14"/>
        <v>Perdido</v>
      </c>
      <c r="P25" s="33" t="s">
        <v>39</v>
      </c>
      <c r="Q25" s="34">
        <f t="shared" si="15"/>
        <v>0.25</v>
      </c>
    </row>
    <row r="26" spans="3:17" ht="15.75" thickBot="1" x14ac:dyDescent="0.3">
      <c r="C26" s="4" t="s">
        <v>33</v>
      </c>
      <c r="D26" s="4">
        <f>+SUM(D27:D29)</f>
        <v>12</v>
      </c>
      <c r="E26" s="20" t="s">
        <v>15</v>
      </c>
      <c r="G26">
        <v>2018</v>
      </c>
      <c r="H26" s="32">
        <v>0.5</v>
      </c>
      <c r="I26" s="9" t="str">
        <f t="shared" ref="I26" si="17">+IF(H26=0.5,"Ganado",IF(H26=0.25,"Empatado",IF(H26&lt;0.25,"Perdido")))</f>
        <v>Ganado</v>
      </c>
      <c r="J26" s="33" t="s">
        <v>66</v>
      </c>
      <c r="K26" s="32">
        <v>0</v>
      </c>
      <c r="L26" s="9" t="str">
        <f t="shared" ref="L26" si="18">+IF(K26=0.5,"Ganado",IF(K26=0.25,"Empatado",IF(K26&lt;0.25,"Perdido")))</f>
        <v>Perdido</v>
      </c>
      <c r="M26" s="33" t="s">
        <v>66</v>
      </c>
      <c r="N26" s="32">
        <v>0</v>
      </c>
      <c r="O26" s="9" t="str">
        <f t="shared" ref="O26" si="19">+IF(N26=1,"Ganado",IF(N26=0.5,"Empatado",IF(N26&lt;0.5,"Perdido")))</f>
        <v>Perdido</v>
      </c>
      <c r="P26" s="33" t="s">
        <v>37</v>
      </c>
      <c r="Q26" s="34">
        <f t="shared" ref="Q26" si="20">+H26+K26+N26</f>
        <v>0.5</v>
      </c>
    </row>
    <row r="27" spans="3:17" ht="15.75" thickTop="1" x14ac:dyDescent="0.25">
      <c r="C27" s="21" t="s">
        <v>16</v>
      </c>
      <c r="D27">
        <f>+COUNTIF($O$21:$O$33,"Ganado")</f>
        <v>5</v>
      </c>
      <c r="E27" s="22">
        <f>+D27/D$26</f>
        <v>0.41666666666666669</v>
      </c>
      <c r="G27">
        <v>2019</v>
      </c>
      <c r="H27" s="32">
        <v>0.5</v>
      </c>
      <c r="I27" s="9" t="str">
        <f t="shared" si="12"/>
        <v>Ganado</v>
      </c>
      <c r="J27" s="33" t="s">
        <v>127</v>
      </c>
      <c r="K27" s="32">
        <v>0</v>
      </c>
      <c r="L27" s="9" t="str">
        <f t="shared" si="13"/>
        <v>Perdido</v>
      </c>
      <c r="M27" s="33" t="s">
        <v>127</v>
      </c>
      <c r="N27" s="32">
        <v>1</v>
      </c>
      <c r="O27" s="9" t="str">
        <f t="shared" si="14"/>
        <v>Ganado</v>
      </c>
      <c r="P27" s="33" t="s">
        <v>74</v>
      </c>
      <c r="Q27" s="34">
        <f t="shared" si="15"/>
        <v>1.5</v>
      </c>
    </row>
    <row r="28" spans="3:17" x14ac:dyDescent="0.25">
      <c r="C28" s="21" t="s">
        <v>23</v>
      </c>
      <c r="D28">
        <f>+COUNTIF($O$21:$O$33,"Empatado")</f>
        <v>0</v>
      </c>
      <c r="E28" s="22">
        <f>+D28/D$26</f>
        <v>0</v>
      </c>
      <c r="G28">
        <v>2020</v>
      </c>
      <c r="H28" s="32">
        <v>0</v>
      </c>
      <c r="I28" s="9" t="str">
        <f t="shared" si="12"/>
        <v>Perdido</v>
      </c>
      <c r="J28" s="33" t="s">
        <v>156</v>
      </c>
      <c r="K28" s="32">
        <v>0.25</v>
      </c>
      <c r="L28" s="9" t="str">
        <f t="shared" si="13"/>
        <v>Empatado</v>
      </c>
      <c r="M28" s="33" t="s">
        <v>156</v>
      </c>
      <c r="N28" s="32">
        <v>0</v>
      </c>
      <c r="O28" s="9" t="str">
        <f t="shared" si="14"/>
        <v>Perdido</v>
      </c>
      <c r="P28" s="33" t="s">
        <v>79</v>
      </c>
      <c r="Q28" s="34">
        <f t="shared" si="15"/>
        <v>0.25</v>
      </c>
    </row>
    <row r="29" spans="3:17" x14ac:dyDescent="0.25">
      <c r="C29" s="21" t="s">
        <v>5</v>
      </c>
      <c r="D29">
        <f>+COUNTIF($O$21:$O$33,"Perdido")</f>
        <v>7</v>
      </c>
      <c r="E29" s="22">
        <f>+D29/D$26</f>
        <v>0.58333333333333337</v>
      </c>
      <c r="G29">
        <v>2021</v>
      </c>
      <c r="H29" s="32">
        <v>0.5</v>
      </c>
      <c r="I29" s="9" t="str">
        <f t="shared" si="12"/>
        <v>Ganado</v>
      </c>
      <c r="J29" s="33" t="s">
        <v>157</v>
      </c>
      <c r="K29" s="32">
        <v>0</v>
      </c>
      <c r="L29" s="9" t="str">
        <f t="shared" si="13"/>
        <v>Perdido</v>
      </c>
      <c r="M29" s="33" t="s">
        <v>157</v>
      </c>
      <c r="N29" s="32">
        <v>1</v>
      </c>
      <c r="O29" s="9" t="str">
        <f t="shared" si="14"/>
        <v>Ganado</v>
      </c>
      <c r="P29" s="33" t="s">
        <v>158</v>
      </c>
      <c r="Q29" s="34">
        <f t="shared" si="15"/>
        <v>1.5</v>
      </c>
    </row>
    <row r="30" spans="3:17" x14ac:dyDescent="0.25">
      <c r="G30">
        <v>2022</v>
      </c>
      <c r="H30" s="32">
        <v>0</v>
      </c>
      <c r="I30" s="9" t="str">
        <f>+IF(H30=0.5,"Ganado",IF(H30=0.25,"Empatado",IF(H30&lt;0.25,"Perdido")))</f>
        <v>Perdido</v>
      </c>
      <c r="J30" s="33" t="s">
        <v>191</v>
      </c>
      <c r="K30" s="32">
        <v>0</v>
      </c>
      <c r="L30" s="9" t="str">
        <f>+IF(K30=0.5,"Ganado",IF(K30=0.25,"Empatado",IF(K30&lt;0.25,"Perdido")))</f>
        <v>Perdido</v>
      </c>
      <c r="M30" s="33" t="s">
        <v>191</v>
      </c>
      <c r="N30" s="32">
        <v>1</v>
      </c>
      <c r="O30" s="9" t="str">
        <f>+IF(N30=1,"Ganado",IF(N30=0.5,"Empatado",IF(N30&lt;0.5,"Perdido")))</f>
        <v>Ganado</v>
      </c>
      <c r="P30" s="33" t="s">
        <v>192</v>
      </c>
      <c r="Q30" s="34">
        <f>+H30+K30+N30</f>
        <v>1</v>
      </c>
    </row>
    <row r="31" spans="3:17" x14ac:dyDescent="0.25">
      <c r="G31">
        <v>2023</v>
      </c>
      <c r="H31" s="32">
        <v>0.25</v>
      </c>
      <c r="I31" s="9" t="str">
        <f>+IF(H31=0.5,"Ganado",IF(H31=0.25,"Empatado",IF(H31&lt;0.25,"Perdido")))</f>
        <v>Empatado</v>
      </c>
      <c r="J31" s="33" t="s">
        <v>210</v>
      </c>
      <c r="K31" s="32">
        <v>0.25</v>
      </c>
      <c r="L31" s="9" t="str">
        <f>+IF(K31=0.5,"Ganado",IF(K31=0.25,"Empatado",IF(K31&lt;0.25,"Perdido")))</f>
        <v>Empatado</v>
      </c>
      <c r="M31" s="33" t="s">
        <v>210</v>
      </c>
      <c r="N31" s="32">
        <v>0</v>
      </c>
      <c r="O31" s="9" t="str">
        <f>+IF(N31=1,"Ganado",IF(N31=0.5,"Empatado",IF(N31&lt;0.5,"Perdido")))</f>
        <v>Perdido</v>
      </c>
      <c r="P31" s="33" t="s">
        <v>74</v>
      </c>
      <c r="Q31" s="34">
        <f>+H31+K31+N31</f>
        <v>0.5</v>
      </c>
    </row>
    <row r="32" spans="3:17" ht="15.75" thickBot="1" x14ac:dyDescent="0.3">
      <c r="G32">
        <v>2024</v>
      </c>
      <c r="H32" s="32">
        <v>0.5</v>
      </c>
      <c r="I32" s="105" t="str">
        <f>+IF(H32=0.5,"Ganado",IF(H32=0.25,"Empatado",IF(H32&lt;0.25,"Perdido")))</f>
        <v>Ganado</v>
      </c>
      <c r="J32" s="103" t="s">
        <v>222</v>
      </c>
      <c r="K32" s="104">
        <v>0.5</v>
      </c>
      <c r="L32" s="105" t="str">
        <f>+IF(K32=0.5,"Ganado",IF(K32=0.25,"Empatado",IF(K32&lt;0.25,"Perdido")))</f>
        <v>Ganado</v>
      </c>
      <c r="M32" s="103" t="s">
        <v>222</v>
      </c>
      <c r="N32" s="104">
        <v>1</v>
      </c>
      <c r="O32" s="105" t="str">
        <f>+IF(N32=1,"Ganado",IF(N32=0.5,"Empatado",IF(N32&lt;0.5,"Perdido")))</f>
        <v>Ganado</v>
      </c>
      <c r="P32" s="103" t="s">
        <v>79</v>
      </c>
      <c r="Q32" s="34">
        <f>+H32+K32+N32</f>
        <v>2</v>
      </c>
    </row>
    <row r="33" spans="7:17" ht="16.5" thickTop="1" thickBot="1" x14ac:dyDescent="0.3">
      <c r="G33">
        <v>2025</v>
      </c>
      <c r="H33" s="32">
        <v>0.25</v>
      </c>
      <c r="I33" s="105" t="str">
        <f>+IF(H33=0.5,"Ganado",IF(H33=0.25,"Empatado",IF(H33&lt;0.25,"Perdido")))</f>
        <v>Empatado</v>
      </c>
      <c r="J33" s="103" t="s">
        <v>234</v>
      </c>
      <c r="K33" s="104">
        <v>0.25</v>
      </c>
      <c r="L33" s="105" t="str">
        <f>+IF(K33=0.5,"Ganado",IF(K33=0.25,"Empatado",IF(K33&lt;0.25,"Perdido")))</f>
        <v>Empatado</v>
      </c>
      <c r="M33" s="103" t="s">
        <v>234</v>
      </c>
      <c r="N33" s="104">
        <v>0</v>
      </c>
      <c r="O33" s="105" t="str">
        <f>+IF(N33=1,"Ganado",IF(N33=0.5,"Empatado",IF(N33&lt;0.5,"Perdido")))</f>
        <v>Perdido</v>
      </c>
      <c r="P33" s="103" t="s">
        <v>43</v>
      </c>
      <c r="Q33" s="34">
        <f>+H33+K33+N33</f>
        <v>0.5</v>
      </c>
    </row>
    <row r="34" spans="7:17" ht="16.5" thickTop="1" thickBot="1" x14ac:dyDescent="0.3">
      <c r="G34" s="19" t="s">
        <v>6</v>
      </c>
      <c r="H34" s="38">
        <f>SUM(H21:H33)</f>
        <v>2.75</v>
      </c>
      <c r="I34" s="101"/>
      <c r="J34" s="99"/>
      <c r="K34" s="100">
        <f>SUM(K21:K33)</f>
        <v>2.25</v>
      </c>
      <c r="L34" s="101"/>
      <c r="M34" s="99"/>
      <c r="N34" s="100">
        <f>SUM(N21:N33)</f>
        <v>5</v>
      </c>
      <c r="O34" s="101"/>
      <c r="P34" s="99"/>
      <c r="Q34" s="38">
        <f>SUM(Q21:Q33)</f>
        <v>10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Q34"/>
  <sheetViews>
    <sheetView zoomScale="70" zoomScaleNormal="70" workbookViewId="0">
      <selection activeCell="N33" sqref="N33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3" spans="3:17" ht="15.75" thickBot="1" x14ac:dyDescent="0.3"/>
    <row r="4" spans="3:17" ht="16.5" thickTop="1" thickBot="1" x14ac:dyDescent="0.3">
      <c r="C4" s="1" t="s">
        <v>0</v>
      </c>
      <c r="D4" s="2"/>
      <c r="E4" s="3" t="s">
        <v>34</v>
      </c>
      <c r="G4" s="4" t="s">
        <v>2</v>
      </c>
      <c r="H4" s="4" t="s">
        <v>3</v>
      </c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 t="s">
        <v>6</v>
      </c>
    </row>
    <row r="5" spans="3:17" ht="16.5" thickTop="1" thickBot="1" x14ac:dyDescent="0.3">
      <c r="C5" s="5" t="s">
        <v>7</v>
      </c>
      <c r="D5" s="6"/>
      <c r="E5" s="7" t="s">
        <v>49</v>
      </c>
      <c r="G5">
        <v>2015</v>
      </c>
      <c r="H5" s="9">
        <f>+COUNTIF($H23:$Q23,"Ganado")</f>
        <v>0</v>
      </c>
      <c r="I5" s="9"/>
      <c r="J5" s="9"/>
      <c r="K5" s="9">
        <f>+COUNTIF($H23:$Q23,"Empatado")</f>
        <v>2</v>
      </c>
      <c r="L5" s="9"/>
      <c r="M5" s="9"/>
      <c r="N5" s="9">
        <f>+COUNTIF($H23:$Q23,"Perdido")</f>
        <v>1</v>
      </c>
      <c r="O5" s="10"/>
      <c r="P5" s="10"/>
      <c r="Q5">
        <f t="shared" ref="Q5:Q9" si="0">+SUM(H5:N5)</f>
        <v>3</v>
      </c>
    </row>
    <row r="6" spans="3:17" ht="15.75" thickTop="1" x14ac:dyDescent="0.25">
      <c r="C6" s="11"/>
      <c r="E6" s="12"/>
      <c r="G6">
        <v>2016</v>
      </c>
      <c r="H6" s="9">
        <f>+COUNTIF($H24:$Q24,"Ganado")</f>
        <v>1</v>
      </c>
      <c r="I6" s="9"/>
      <c r="J6" s="9"/>
      <c r="K6" s="9">
        <f>+COUNTIF($H24:$Q24,"Empatado")</f>
        <v>0</v>
      </c>
      <c r="L6" s="9"/>
      <c r="M6" s="9"/>
      <c r="N6" s="9">
        <f>+COUNTIF($H24:$Q24,"Perdido")</f>
        <v>2</v>
      </c>
      <c r="O6" s="10"/>
      <c r="P6" s="10"/>
      <c r="Q6">
        <f t="shared" si="0"/>
        <v>3</v>
      </c>
    </row>
    <row r="7" spans="3:17" x14ac:dyDescent="0.25">
      <c r="C7" s="11" t="s">
        <v>9</v>
      </c>
      <c r="E7" s="13">
        <f>+COUNT(G5:G15)</f>
        <v>11</v>
      </c>
      <c r="F7" s="14"/>
      <c r="G7">
        <v>2017</v>
      </c>
      <c r="H7" s="9">
        <f>+COUNTIF($H25:$Q25,"Ganado")</f>
        <v>0</v>
      </c>
      <c r="I7" s="9"/>
      <c r="J7" s="9"/>
      <c r="K7" s="9">
        <f>+COUNTIF($H25:$Q25,"Empatado")</f>
        <v>0</v>
      </c>
      <c r="L7" s="9"/>
      <c r="M7" s="9"/>
      <c r="N7" s="9">
        <f>+COUNTIF($H25:$Q25,"Perdido")</f>
        <v>3</v>
      </c>
      <c r="O7" s="10"/>
      <c r="P7" s="10"/>
      <c r="Q7">
        <f t="shared" si="0"/>
        <v>3</v>
      </c>
    </row>
    <row r="8" spans="3:17" x14ac:dyDescent="0.25">
      <c r="C8" s="11" t="s">
        <v>10</v>
      </c>
      <c r="E8" s="15">
        <f>+E7*2</f>
        <v>22</v>
      </c>
      <c r="G8">
        <v>2018</v>
      </c>
      <c r="H8" s="9">
        <f t="shared" ref="H8:H11" si="1">+COUNTIF($H26:$Q26,"Ganado")</f>
        <v>1</v>
      </c>
      <c r="I8" s="9"/>
      <c r="J8" s="9"/>
      <c r="K8" s="9">
        <f t="shared" ref="K8:K11" si="2">+COUNTIF($H26:$Q26,"Empatado")</f>
        <v>0</v>
      </c>
      <c r="L8" s="9"/>
      <c r="M8" s="9"/>
      <c r="N8" s="9">
        <f t="shared" ref="N8:N11" si="3">+COUNTIF($H26:$Q26,"Perdido")</f>
        <v>2</v>
      </c>
      <c r="O8" s="10"/>
      <c r="P8" s="10"/>
      <c r="Q8">
        <f t="shared" ref="Q8" si="4">+SUM(H8:N8)</f>
        <v>3</v>
      </c>
    </row>
    <row r="9" spans="3:17" x14ac:dyDescent="0.25">
      <c r="C9" s="11" t="s">
        <v>11</v>
      </c>
      <c r="E9" s="15">
        <f>+Q34</f>
        <v>5</v>
      </c>
      <c r="G9">
        <v>2019</v>
      </c>
      <c r="H9" s="9">
        <f t="shared" si="1"/>
        <v>0</v>
      </c>
      <c r="I9" s="9"/>
      <c r="J9" s="9"/>
      <c r="K9" s="9">
        <f t="shared" si="2"/>
        <v>1</v>
      </c>
      <c r="L9" s="9"/>
      <c r="M9" s="9"/>
      <c r="N9" s="9">
        <f t="shared" si="3"/>
        <v>2</v>
      </c>
      <c r="O9" s="10"/>
      <c r="P9" s="10"/>
      <c r="Q9">
        <f t="shared" si="0"/>
        <v>3</v>
      </c>
    </row>
    <row r="10" spans="3:17" ht="15.75" thickBot="1" x14ac:dyDescent="0.3">
      <c r="C10" s="16" t="s">
        <v>12</v>
      </c>
      <c r="D10" s="17"/>
      <c r="E10" s="18">
        <f>+E9/E8</f>
        <v>0.22727272727272727</v>
      </c>
      <c r="G10">
        <v>2020</v>
      </c>
      <c r="H10" s="9">
        <f t="shared" si="1"/>
        <v>1</v>
      </c>
      <c r="I10" s="9"/>
      <c r="J10" s="9"/>
      <c r="K10" s="9">
        <f t="shared" si="2"/>
        <v>0</v>
      </c>
      <c r="L10" s="9"/>
      <c r="M10" s="9"/>
      <c r="N10" s="9">
        <f t="shared" si="3"/>
        <v>2</v>
      </c>
      <c r="O10" s="10"/>
      <c r="P10" s="10"/>
      <c r="Q10">
        <f t="shared" ref="Q10:Q11" si="5">+SUM(H10:N10)</f>
        <v>3</v>
      </c>
    </row>
    <row r="11" spans="3:17" ht="15.75" thickTop="1" x14ac:dyDescent="0.25">
      <c r="G11">
        <v>2021</v>
      </c>
      <c r="H11" s="9">
        <f t="shared" si="1"/>
        <v>0</v>
      </c>
      <c r="I11" s="9"/>
      <c r="J11" s="9"/>
      <c r="K11" s="9">
        <f t="shared" si="2"/>
        <v>0</v>
      </c>
      <c r="L11" s="9"/>
      <c r="M11" s="9"/>
      <c r="N11" s="9">
        <f t="shared" si="3"/>
        <v>3</v>
      </c>
      <c r="O11" s="10"/>
      <c r="P11" s="10"/>
      <c r="Q11">
        <f t="shared" si="5"/>
        <v>3</v>
      </c>
    </row>
    <row r="12" spans="3:17" ht="15.75" thickBot="1" x14ac:dyDescent="0.3">
      <c r="C12" s="4" t="s">
        <v>14</v>
      </c>
      <c r="D12" s="4">
        <f>+SUM(D13:D15)</f>
        <v>33</v>
      </c>
      <c r="E12" s="20" t="s">
        <v>15</v>
      </c>
      <c r="G12">
        <v>2022</v>
      </c>
      <c r="H12" s="9">
        <f>+COUNTIF($H30:$Q30,"Ganado")</f>
        <v>0</v>
      </c>
      <c r="I12" s="9"/>
      <c r="J12" s="9"/>
      <c r="K12" s="9">
        <f>+COUNTIF($H30:$Q30,"Empatado")</f>
        <v>1</v>
      </c>
      <c r="L12" s="9"/>
      <c r="M12" s="9"/>
      <c r="N12" s="9">
        <f>+COUNTIF($H30:$Q30,"Perdido")</f>
        <v>2</v>
      </c>
      <c r="O12" s="10"/>
      <c r="P12" s="10"/>
      <c r="Q12">
        <f t="shared" ref="Q12" si="6">+SUM(H12:N12)</f>
        <v>3</v>
      </c>
    </row>
    <row r="13" spans="3:17" ht="15.75" thickTop="1" x14ac:dyDescent="0.25">
      <c r="C13" s="21" t="s">
        <v>16</v>
      </c>
      <c r="D13">
        <f>+D18+D23+D28</f>
        <v>6</v>
      </c>
      <c r="E13" s="22">
        <f>+D13/D$12</f>
        <v>0.18181818181818182</v>
      </c>
      <c r="G13">
        <v>2023</v>
      </c>
      <c r="H13" s="9">
        <f>+COUNTIF($H31:$Q31,"Ganado")</f>
        <v>1</v>
      </c>
      <c r="I13" s="9"/>
      <c r="J13" s="9"/>
      <c r="K13" s="9">
        <f>+COUNTIF($H31:$Q31,"Empatado")</f>
        <v>0</v>
      </c>
      <c r="L13" s="9"/>
      <c r="M13" s="9"/>
      <c r="N13" s="9">
        <f>+COUNTIF($H31:$Q31,"Perdido")</f>
        <v>2</v>
      </c>
      <c r="O13" s="10"/>
      <c r="P13" s="10"/>
      <c r="Q13">
        <f t="shared" ref="Q13" si="7">+SUM(H13:N13)</f>
        <v>3</v>
      </c>
    </row>
    <row r="14" spans="3:17" x14ac:dyDescent="0.25">
      <c r="C14" s="21" t="s">
        <v>23</v>
      </c>
      <c r="D14">
        <f>+D19+D24+D29</f>
        <v>6</v>
      </c>
      <c r="E14" s="22">
        <f>+D14/D$12</f>
        <v>0.18181818181818182</v>
      </c>
      <c r="G14">
        <v>2024</v>
      </c>
      <c r="H14" s="9">
        <f>+COUNTIF($H32:$Q32,"Ganado")</f>
        <v>2</v>
      </c>
      <c r="I14" s="9"/>
      <c r="J14" s="9"/>
      <c r="K14" s="9">
        <f>+COUNTIF($H32:$Q32,"Empatado")</f>
        <v>0</v>
      </c>
      <c r="L14" s="9"/>
      <c r="M14" s="9"/>
      <c r="N14" s="9">
        <f>+COUNTIF($H32:$Q32,"Perdido")</f>
        <v>1</v>
      </c>
      <c r="O14" s="10"/>
      <c r="P14" s="10"/>
      <c r="Q14">
        <f t="shared" ref="Q14" si="8">+SUM(H14:N14)</f>
        <v>3</v>
      </c>
    </row>
    <row r="15" spans="3:17" ht="15.75" thickBot="1" x14ac:dyDescent="0.3">
      <c r="C15" s="21" t="s">
        <v>5</v>
      </c>
      <c r="D15">
        <f>+D20+D25+D30</f>
        <v>21</v>
      </c>
      <c r="E15" s="22">
        <f>+D15/D$12</f>
        <v>0.63636363636363635</v>
      </c>
      <c r="G15">
        <v>2025</v>
      </c>
      <c r="H15" s="9">
        <f>+COUNTIF($H33:$Q33,"Ganado")</f>
        <v>0</v>
      </c>
      <c r="I15" s="9"/>
      <c r="J15" s="9"/>
      <c r="K15" s="9">
        <f>+COUNTIF($H33:$Q33,"Empatado")</f>
        <v>2</v>
      </c>
      <c r="L15" s="9"/>
      <c r="M15" s="9"/>
      <c r="N15" s="9">
        <f>+COUNTIF($H33:$Q33,"Perdido")</f>
        <v>1</v>
      </c>
      <c r="O15" s="10"/>
      <c r="P15" s="10"/>
      <c r="Q15">
        <f t="shared" ref="Q15" si="9">+SUM(H15:N15)</f>
        <v>3</v>
      </c>
    </row>
    <row r="16" spans="3:17" ht="16.5" thickTop="1" thickBot="1" x14ac:dyDescent="0.3">
      <c r="G16" s="19" t="s">
        <v>13</v>
      </c>
      <c r="H16" s="19">
        <f>SUM(H5:H11)</f>
        <v>3</v>
      </c>
      <c r="I16" s="19"/>
      <c r="J16" s="19"/>
      <c r="K16" s="19">
        <f>SUM(K5:K11)</f>
        <v>3</v>
      </c>
      <c r="L16" s="19"/>
      <c r="M16" s="19"/>
      <c r="N16" s="19">
        <f>SUM(N5:N11)</f>
        <v>15</v>
      </c>
      <c r="O16" s="19"/>
      <c r="P16" s="19"/>
      <c r="Q16" s="19">
        <f>SUM(Q5:Q15)</f>
        <v>33</v>
      </c>
    </row>
    <row r="17" spans="3:17" ht="15.75" thickBot="1" x14ac:dyDescent="0.3">
      <c r="C17" s="4" t="s">
        <v>27</v>
      </c>
      <c r="D17" s="4">
        <f>+SUM(D18:D20)</f>
        <v>11</v>
      </c>
      <c r="E17" s="20" t="s">
        <v>15</v>
      </c>
    </row>
    <row r="18" spans="3:17" ht="16.5" thickTop="1" thickBot="1" x14ac:dyDescent="0.3">
      <c r="C18" s="21" t="s">
        <v>29</v>
      </c>
      <c r="D18">
        <f>+COUNTIF($I$21:$I$33,"Ganado")</f>
        <v>5</v>
      </c>
      <c r="E18" s="22">
        <f>+D18/D$17</f>
        <v>0.45454545454545453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C19" s="21" t="s">
        <v>23</v>
      </c>
      <c r="D19">
        <f>+COUNTIF($I$21:$I$33,"Empatado")</f>
        <v>2</v>
      </c>
      <c r="E19" s="22">
        <f>+D19/D$17</f>
        <v>0.18181818181818182</v>
      </c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x14ac:dyDescent="0.25">
      <c r="C20" s="21" t="s">
        <v>5</v>
      </c>
      <c r="D20">
        <f>+COUNTIF($I$21:$I$33,"Perdido")</f>
        <v>4</v>
      </c>
      <c r="E20" s="22">
        <f>+D20/D$17</f>
        <v>0.36363636363636365</v>
      </c>
      <c r="G20" s="29" t="s">
        <v>25</v>
      </c>
      <c r="H20" s="30">
        <f>H19*$E$7</f>
        <v>5.5</v>
      </c>
      <c r="I20" s="30"/>
      <c r="J20" s="31"/>
      <c r="K20" s="30">
        <f>K19*$E$7</f>
        <v>5.5</v>
      </c>
      <c r="L20" s="30"/>
      <c r="M20" s="31"/>
      <c r="N20" s="30">
        <f>N19*$E$7</f>
        <v>11</v>
      </c>
      <c r="O20" s="30"/>
      <c r="P20" s="31"/>
      <c r="Q20" s="29">
        <f>+SUM(H20:N20)</f>
        <v>22</v>
      </c>
    </row>
    <row r="21" spans="3:17" x14ac:dyDescent="0.25">
      <c r="G21" s="8">
        <v>2013</v>
      </c>
      <c r="H21" s="32"/>
      <c r="I21" s="9"/>
      <c r="J21" s="33"/>
      <c r="K21" s="32"/>
      <c r="L21" s="9"/>
      <c r="M21" s="33"/>
      <c r="N21" s="32"/>
      <c r="O21" s="9"/>
      <c r="P21" s="33"/>
      <c r="Q21" s="34">
        <f t="shared" ref="Q21:Q29" si="10">+H21+K21+N21</f>
        <v>0</v>
      </c>
    </row>
    <row r="22" spans="3:17" ht="15.75" thickBot="1" x14ac:dyDescent="0.3">
      <c r="C22" s="4" t="s">
        <v>32</v>
      </c>
      <c r="D22" s="4">
        <f>+SUM(D23:D25)</f>
        <v>11</v>
      </c>
      <c r="E22" s="20" t="s">
        <v>15</v>
      </c>
      <c r="G22">
        <f>+G21+1</f>
        <v>2014</v>
      </c>
      <c r="H22" s="32"/>
      <c r="I22" s="9"/>
      <c r="J22" s="33"/>
      <c r="K22" s="32"/>
      <c r="L22" s="9"/>
      <c r="M22" s="33"/>
      <c r="N22" s="32"/>
      <c r="O22" s="9"/>
      <c r="P22" s="33"/>
      <c r="Q22" s="34">
        <f t="shared" si="10"/>
        <v>0</v>
      </c>
    </row>
    <row r="23" spans="3:17" ht="15.75" thickTop="1" x14ac:dyDescent="0.25">
      <c r="C23" s="21" t="s">
        <v>16</v>
      </c>
      <c r="D23">
        <f>+COUNTIF($L$21:$L$33,"Ganado")</f>
        <v>1</v>
      </c>
      <c r="E23" s="22">
        <f>+D23/D$22</f>
        <v>9.0909090909090912E-2</v>
      </c>
      <c r="G23">
        <f t="shared" ref="G23:G24" si="11">+G22+1</f>
        <v>2015</v>
      </c>
      <c r="H23" s="32">
        <v>0.25</v>
      </c>
      <c r="I23" s="9" t="str">
        <f t="shared" ref="I23:I29" si="12">+IF(H23=0.5,"Ganado",IF(H23=0.25,"Empatado",IF(H23&lt;0.25,"Perdido")))</f>
        <v>Empatado</v>
      </c>
      <c r="J23" s="33" t="s">
        <v>50</v>
      </c>
      <c r="K23" s="32">
        <v>0.25</v>
      </c>
      <c r="L23" s="9" t="str">
        <f t="shared" ref="L23:L29" si="13">+IF(K23=0.5,"Ganado",IF(K23=0.25,"Empatado",IF(K23&lt;0.25,"Perdido")))</f>
        <v>Empatado</v>
      </c>
      <c r="M23" s="33" t="s">
        <v>50</v>
      </c>
      <c r="N23" s="32">
        <v>0</v>
      </c>
      <c r="O23" s="9" t="str">
        <f t="shared" ref="O23:O29" si="14">+IF(N23=1,"Ganado",IF(N23=0.5,"Empatado",IF(N23&lt;0.5,"Perdido")))</f>
        <v>Perdido</v>
      </c>
      <c r="P23" s="33" t="s">
        <v>45</v>
      </c>
      <c r="Q23" s="34">
        <f t="shared" si="10"/>
        <v>0.5</v>
      </c>
    </row>
    <row r="24" spans="3:17" x14ac:dyDescent="0.25">
      <c r="C24" s="21" t="s">
        <v>23</v>
      </c>
      <c r="D24">
        <f>+COUNTIF($L$21:$L$33,"Empatado")</f>
        <v>2</v>
      </c>
      <c r="E24" s="22">
        <f>+D24/D$22</f>
        <v>0.18181818181818182</v>
      </c>
      <c r="G24">
        <f t="shared" si="11"/>
        <v>2016</v>
      </c>
      <c r="H24" s="32">
        <v>0.5</v>
      </c>
      <c r="I24" s="9" t="str">
        <f t="shared" si="12"/>
        <v>Ganado</v>
      </c>
      <c r="J24" s="33" t="s">
        <v>51</v>
      </c>
      <c r="K24" s="32">
        <v>0</v>
      </c>
      <c r="L24" s="9" t="str">
        <f t="shared" si="13"/>
        <v>Perdido</v>
      </c>
      <c r="M24" s="33" t="s">
        <v>51</v>
      </c>
      <c r="N24" s="32">
        <v>0</v>
      </c>
      <c r="O24" s="9" t="str">
        <f t="shared" si="14"/>
        <v>Perdido</v>
      </c>
      <c r="P24" s="33" t="s">
        <v>52</v>
      </c>
      <c r="Q24" s="34">
        <f t="shared" si="10"/>
        <v>0.5</v>
      </c>
    </row>
    <row r="25" spans="3:17" x14ac:dyDescent="0.25">
      <c r="C25" s="21" t="s">
        <v>5</v>
      </c>
      <c r="D25">
        <f>+COUNTIF($L$21:$L$33,"Perdido")</f>
        <v>8</v>
      </c>
      <c r="E25" s="22">
        <f>+D25/D$22</f>
        <v>0.72727272727272729</v>
      </c>
      <c r="G25">
        <v>2017</v>
      </c>
      <c r="H25" s="32">
        <v>0</v>
      </c>
      <c r="I25" s="9" t="str">
        <f t="shared" si="12"/>
        <v>Perdido</v>
      </c>
      <c r="J25" s="33" t="s">
        <v>53</v>
      </c>
      <c r="K25" s="32">
        <v>0</v>
      </c>
      <c r="L25" s="9" t="str">
        <f t="shared" si="13"/>
        <v>Perdido</v>
      </c>
      <c r="M25" s="33" t="s">
        <v>53</v>
      </c>
      <c r="N25" s="32">
        <v>0</v>
      </c>
      <c r="O25" s="9" t="str">
        <f t="shared" si="14"/>
        <v>Perdido</v>
      </c>
      <c r="P25" s="33" t="s">
        <v>45</v>
      </c>
      <c r="Q25" s="34">
        <f t="shared" si="10"/>
        <v>0</v>
      </c>
    </row>
    <row r="26" spans="3:17" x14ac:dyDescent="0.25">
      <c r="G26">
        <v>2018</v>
      </c>
      <c r="H26" s="32">
        <v>0.5</v>
      </c>
      <c r="I26" s="9" t="str">
        <f t="shared" ref="I26" si="15">+IF(H26=0.5,"Ganado",IF(H26=0.25,"Empatado",IF(H26&lt;0.25,"Perdido")))</f>
        <v>Ganado</v>
      </c>
      <c r="J26" s="33" t="s">
        <v>54</v>
      </c>
      <c r="K26" s="32">
        <v>0</v>
      </c>
      <c r="L26" s="9" t="str">
        <f t="shared" ref="L26" si="16">+IF(K26=0.5,"Ganado",IF(K26=0.25,"Empatado",IF(K26&lt;0.25,"Perdido")))</f>
        <v>Perdido</v>
      </c>
      <c r="M26" s="33" t="s">
        <v>54</v>
      </c>
      <c r="N26" s="32">
        <v>0</v>
      </c>
      <c r="O26" s="9" t="str">
        <f t="shared" ref="O26" si="17">+IF(N26=1,"Ganado",IF(N26=0.5,"Empatado",IF(N26&lt;0.5,"Perdido")))</f>
        <v>Perdido</v>
      </c>
      <c r="P26" s="33" t="s">
        <v>45</v>
      </c>
      <c r="Q26" s="34">
        <f t="shared" ref="Q26" si="18">+H26+K26+N26</f>
        <v>0.5</v>
      </c>
    </row>
    <row r="27" spans="3:17" ht="15.75" thickBot="1" x14ac:dyDescent="0.3">
      <c r="C27" s="4" t="s">
        <v>33</v>
      </c>
      <c r="D27" s="4">
        <f>+SUM(D28:D30)</f>
        <v>11</v>
      </c>
      <c r="E27" s="20" t="s">
        <v>15</v>
      </c>
      <c r="G27">
        <v>2019</v>
      </c>
      <c r="H27" s="32">
        <v>0</v>
      </c>
      <c r="I27" s="9" t="str">
        <f t="shared" si="12"/>
        <v>Perdido</v>
      </c>
      <c r="J27" s="33" t="s">
        <v>128</v>
      </c>
      <c r="K27" s="32">
        <v>0</v>
      </c>
      <c r="L27" s="9" t="str">
        <f t="shared" si="13"/>
        <v>Perdido</v>
      </c>
      <c r="M27" s="33" t="s">
        <v>54</v>
      </c>
      <c r="N27" s="32">
        <v>0.5</v>
      </c>
      <c r="O27" s="9" t="str">
        <f t="shared" si="14"/>
        <v>Empatado</v>
      </c>
      <c r="P27" s="33" t="s">
        <v>37</v>
      </c>
      <c r="Q27" s="34">
        <f t="shared" si="10"/>
        <v>0.5</v>
      </c>
    </row>
    <row r="28" spans="3:17" ht="15.75" thickTop="1" x14ac:dyDescent="0.25">
      <c r="C28" s="21" t="s">
        <v>16</v>
      </c>
      <c r="D28">
        <f>+COUNTIF($O$21:$O$33,"Ganado")</f>
        <v>0</v>
      </c>
      <c r="E28" s="22">
        <f>+D28/D$27</f>
        <v>0</v>
      </c>
      <c r="G28">
        <v>2020</v>
      </c>
      <c r="H28" s="32">
        <v>0.5</v>
      </c>
      <c r="I28" s="9" t="str">
        <f t="shared" si="12"/>
        <v>Ganado</v>
      </c>
      <c r="J28" s="33" t="s">
        <v>128</v>
      </c>
      <c r="K28" s="32">
        <v>0</v>
      </c>
      <c r="L28" s="9" t="str">
        <f t="shared" si="13"/>
        <v>Perdido</v>
      </c>
      <c r="M28" s="33" t="s">
        <v>128</v>
      </c>
      <c r="N28" s="32">
        <v>0</v>
      </c>
      <c r="O28" s="9" t="str">
        <f t="shared" si="14"/>
        <v>Perdido</v>
      </c>
      <c r="P28" s="33" t="s">
        <v>159</v>
      </c>
      <c r="Q28" s="34">
        <f t="shared" si="10"/>
        <v>0.5</v>
      </c>
    </row>
    <row r="29" spans="3:17" x14ac:dyDescent="0.25">
      <c r="C29" s="21" t="s">
        <v>23</v>
      </c>
      <c r="D29">
        <f>+COUNTIF($O$21:$O$33,"Empatado")</f>
        <v>2</v>
      </c>
      <c r="E29" s="22">
        <f>+D29/D$27</f>
        <v>0.18181818181818182</v>
      </c>
      <c r="G29">
        <v>2021</v>
      </c>
      <c r="H29" s="32">
        <v>0</v>
      </c>
      <c r="I29" s="9" t="str">
        <f t="shared" si="12"/>
        <v>Perdido</v>
      </c>
      <c r="J29" s="33" t="s">
        <v>169</v>
      </c>
      <c r="K29" s="32">
        <v>0</v>
      </c>
      <c r="L29" s="9" t="str">
        <f t="shared" si="13"/>
        <v>Perdido</v>
      </c>
      <c r="M29" s="33" t="s">
        <v>160</v>
      </c>
      <c r="N29" s="32">
        <v>0</v>
      </c>
      <c r="O29" s="9" t="str">
        <f t="shared" si="14"/>
        <v>Perdido</v>
      </c>
      <c r="P29" s="33" t="s">
        <v>58</v>
      </c>
      <c r="Q29" s="34">
        <f t="shared" si="10"/>
        <v>0</v>
      </c>
    </row>
    <row r="30" spans="3:17" x14ac:dyDescent="0.25">
      <c r="C30" s="21" t="s">
        <v>5</v>
      </c>
      <c r="D30">
        <f>+COUNTIF($O$21:$O$33,"Perdido")</f>
        <v>9</v>
      </c>
      <c r="E30" s="22">
        <f>+D30/D$27</f>
        <v>0.81818181818181823</v>
      </c>
      <c r="G30">
        <v>2022</v>
      </c>
      <c r="H30" s="32">
        <v>0</v>
      </c>
      <c r="I30" s="9" t="str">
        <f>+IF(H30=0.5,"Ganado",IF(H30=0.25,"Empatado",IF(H30&lt;0.25,"Perdido")))</f>
        <v>Perdido</v>
      </c>
      <c r="J30" s="33" t="s">
        <v>193</v>
      </c>
      <c r="K30" s="32">
        <v>0</v>
      </c>
      <c r="L30" s="9" t="str">
        <f>+IF(K30=0.5,"Ganado",IF(K30=0.25,"Empatado",IF(K30&lt;0.25,"Perdido")))</f>
        <v>Perdido</v>
      </c>
      <c r="M30" s="33" t="s">
        <v>193</v>
      </c>
      <c r="N30" s="32">
        <v>0.5</v>
      </c>
      <c r="O30" s="9" t="str">
        <f>+IF(N30=1,"Ganado",IF(N30=0.5,"Empatado",IF(N30&lt;0.5,"Perdido")))</f>
        <v>Empatado</v>
      </c>
      <c r="P30" s="33" t="s">
        <v>194</v>
      </c>
      <c r="Q30" s="34">
        <f>+H30+K30+N30</f>
        <v>0.5</v>
      </c>
    </row>
    <row r="31" spans="3:17" x14ac:dyDescent="0.25">
      <c r="G31">
        <v>2023</v>
      </c>
      <c r="H31" s="32">
        <v>0.5</v>
      </c>
      <c r="I31" s="9" t="str">
        <f>+IF(H31=0.5,"Ganado",IF(H31=0.25,"Empatado",IF(H31&lt;0.25,"Perdido")))</f>
        <v>Ganado</v>
      </c>
      <c r="J31" s="33" t="s">
        <v>211</v>
      </c>
      <c r="K31" s="32">
        <v>0</v>
      </c>
      <c r="L31" s="9" t="str">
        <f>+IF(K31=0.5,"Ganado",IF(K31=0.25,"Empatado",IF(K31&lt;0.25,"Perdido")))</f>
        <v>Perdido</v>
      </c>
      <c r="M31" s="33" t="s">
        <v>211</v>
      </c>
      <c r="N31" s="32">
        <v>0</v>
      </c>
      <c r="O31" s="9" t="str">
        <f>+IF(N31=1,"Ganado",IF(N31=0.5,"Empatado",IF(N31&lt;0.5,"Perdido")))</f>
        <v>Perdido</v>
      </c>
      <c r="P31" s="33" t="s">
        <v>45</v>
      </c>
      <c r="Q31" s="34">
        <f>+H31+K31+N31</f>
        <v>0.5</v>
      </c>
    </row>
    <row r="32" spans="3:17" ht="15.75" thickBot="1" x14ac:dyDescent="0.3">
      <c r="G32">
        <v>2024</v>
      </c>
      <c r="H32" s="32">
        <v>0.5</v>
      </c>
      <c r="I32" s="9" t="str">
        <f>+IF(H32=0.5,"Ganado",IF(H32=0.25,"Empatado",IF(H32&lt;0.25,"Perdido")))</f>
        <v>Ganado</v>
      </c>
      <c r="J32" s="35" t="s">
        <v>223</v>
      </c>
      <c r="K32" s="32">
        <v>0.5</v>
      </c>
      <c r="L32" s="9" t="str">
        <f>+IF(K32=0.5,"Ganado",IF(K32=0.25,"Empatado",IF(K32&lt;0.25,"Perdido")))</f>
        <v>Ganado</v>
      </c>
      <c r="M32" s="35" t="s">
        <v>223</v>
      </c>
      <c r="N32" s="32">
        <v>0</v>
      </c>
      <c r="O32" s="9" t="str">
        <f>+IF(N32=1,"Ganado",IF(N32=0.5,"Empatado",IF(N32&lt;0.5,"Perdido")))</f>
        <v>Perdido</v>
      </c>
      <c r="P32" s="35" t="s">
        <v>58</v>
      </c>
      <c r="Q32" s="34">
        <f>+H32+K32+N32</f>
        <v>1</v>
      </c>
    </row>
    <row r="33" spans="7:17" ht="16.5" thickTop="1" thickBot="1" x14ac:dyDescent="0.3">
      <c r="G33">
        <v>2025</v>
      </c>
      <c r="H33" s="32">
        <v>0.25</v>
      </c>
      <c r="I33" s="9" t="str">
        <f>+IF(H33=0.5,"Ganado",IF(H33=0.25,"Empatado",IF(H33&lt;0.25,"Perdido")))</f>
        <v>Empatado</v>
      </c>
      <c r="J33" s="103" t="s">
        <v>234</v>
      </c>
      <c r="K33" s="32">
        <v>0.25</v>
      </c>
      <c r="L33" s="9" t="str">
        <f>+IF(K33=0.5,"Ganado",IF(K33=0.25,"Empatado",IF(K33&lt;0.25,"Perdido")))</f>
        <v>Empatado</v>
      </c>
      <c r="M33" s="103" t="s">
        <v>234</v>
      </c>
      <c r="N33" s="32">
        <v>0</v>
      </c>
      <c r="O33" s="9" t="str">
        <f>+IF(N33=1,"Ganado",IF(N33=0.5,"Empatado",IF(N33&lt;0.5,"Perdido")))</f>
        <v>Perdido</v>
      </c>
      <c r="P33" s="148" t="s">
        <v>235</v>
      </c>
      <c r="Q33" s="34">
        <f>+H33+K33+N33</f>
        <v>0.5</v>
      </c>
    </row>
    <row r="34" spans="7:17" ht="16.5" thickTop="1" thickBot="1" x14ac:dyDescent="0.3">
      <c r="G34" s="19" t="s">
        <v>6</v>
      </c>
      <c r="H34" s="38">
        <f>SUM(H23:H33)</f>
        <v>3</v>
      </c>
      <c r="I34" s="19"/>
      <c r="J34" s="39"/>
      <c r="K34" s="38">
        <f>SUM(K23:K33)</f>
        <v>1</v>
      </c>
      <c r="L34" s="19"/>
      <c r="M34" s="39"/>
      <c r="N34" s="38">
        <f>SUM(N23:N33)</f>
        <v>1</v>
      </c>
      <c r="O34" s="19"/>
      <c r="P34" s="39"/>
      <c r="Q34" s="147">
        <f>SUM(Q21:Q33)</f>
        <v>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Q34"/>
  <sheetViews>
    <sheetView zoomScale="70" zoomScaleNormal="70" workbookViewId="0">
      <selection activeCell="D29" sqref="D29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1" spans="3:17" ht="15.75" thickBot="1" x14ac:dyDescent="0.3"/>
    <row r="2" spans="3:17" ht="16.5" thickTop="1" thickBot="1" x14ac:dyDescent="0.3">
      <c r="C2" s="1" t="s">
        <v>0</v>
      </c>
      <c r="D2" s="2"/>
      <c r="E2" s="3" t="s">
        <v>34</v>
      </c>
      <c r="G2" s="4" t="s">
        <v>2</v>
      </c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4" t="s">
        <v>6</v>
      </c>
    </row>
    <row r="3" spans="3:17" ht="16.5" thickTop="1" thickBot="1" x14ac:dyDescent="0.3">
      <c r="C3" s="5" t="s">
        <v>7</v>
      </c>
      <c r="D3" s="6"/>
      <c r="E3" s="7" t="s">
        <v>31</v>
      </c>
      <c r="G3" s="8">
        <v>2013</v>
      </c>
      <c r="H3" s="9">
        <f>+COUNTIF($H21:$Q21,"Ganado")</f>
        <v>3</v>
      </c>
      <c r="I3" s="9"/>
      <c r="J3" s="9"/>
      <c r="K3" s="9">
        <f>+COUNTIF($H21:$Q21,"Empatado")</f>
        <v>0</v>
      </c>
      <c r="L3" s="9"/>
      <c r="M3" s="9"/>
      <c r="N3" s="9">
        <f>+COUNTIF($H21:$Q21,"Perdido")</f>
        <v>0</v>
      </c>
      <c r="O3" s="10"/>
      <c r="P3" s="10"/>
      <c r="Q3">
        <f t="shared" ref="Q3:Q9" si="0">+SUM(H3:N3)</f>
        <v>3</v>
      </c>
    </row>
    <row r="4" spans="3:17" ht="15.75" thickTop="1" x14ac:dyDescent="0.25">
      <c r="C4" s="11"/>
      <c r="E4" s="12"/>
      <c r="G4">
        <v>2014</v>
      </c>
      <c r="H4" s="9">
        <f>+COUNTIF($H22:$Q22,"Ganado")</f>
        <v>0</v>
      </c>
      <c r="I4" s="9"/>
      <c r="J4" s="9"/>
      <c r="K4" s="9">
        <f>+COUNTIF($H22:$Q22,"Empatado")</f>
        <v>2</v>
      </c>
      <c r="L4" s="9"/>
      <c r="M4" s="9"/>
      <c r="N4" s="9">
        <f>+COUNTIF($H22:$Q22,"Perdido")</f>
        <v>1</v>
      </c>
      <c r="O4" s="10"/>
      <c r="P4" s="10"/>
      <c r="Q4">
        <f t="shared" si="0"/>
        <v>3</v>
      </c>
    </row>
    <row r="5" spans="3:17" x14ac:dyDescent="0.25">
      <c r="C5" s="11" t="s">
        <v>9</v>
      </c>
      <c r="E5" s="13">
        <f>+COUNT(G3:G14)</f>
        <v>12</v>
      </c>
      <c r="F5" s="14"/>
      <c r="G5">
        <v>2015</v>
      </c>
      <c r="H5" s="9">
        <f>+COUNTIF($H23:$Q23,"Ganado")</f>
        <v>1</v>
      </c>
      <c r="I5" s="9"/>
      <c r="J5" s="9"/>
      <c r="K5" s="9">
        <f>+COUNTIF($H23:$Q23,"Empatado")</f>
        <v>1</v>
      </c>
      <c r="L5" s="9"/>
      <c r="M5" s="9"/>
      <c r="N5" s="9">
        <f>+COUNTIF($H23:$Q23,"Perdido")</f>
        <v>1</v>
      </c>
      <c r="O5" s="10"/>
      <c r="P5" s="10"/>
      <c r="Q5">
        <f t="shared" si="0"/>
        <v>3</v>
      </c>
    </row>
    <row r="6" spans="3:17" x14ac:dyDescent="0.25">
      <c r="C6" s="11" t="s">
        <v>10</v>
      </c>
      <c r="E6" s="15">
        <f>+E5*2</f>
        <v>24</v>
      </c>
      <c r="G6">
        <v>2016</v>
      </c>
      <c r="H6" s="9">
        <f>+COUNTIF($H24:$Q24,"Ganado")</f>
        <v>0</v>
      </c>
      <c r="I6" s="9"/>
      <c r="J6" s="9"/>
      <c r="K6" s="9">
        <f>+COUNTIF($H24:$Q24,"Empatado")</f>
        <v>0</v>
      </c>
      <c r="L6" s="9"/>
      <c r="M6" s="9"/>
      <c r="N6" s="9">
        <f>+COUNTIF($H24:$Q24,"Perdido")</f>
        <v>3</v>
      </c>
      <c r="O6" s="10"/>
      <c r="P6" s="10"/>
      <c r="Q6">
        <f t="shared" si="0"/>
        <v>3</v>
      </c>
    </row>
    <row r="7" spans="3:17" x14ac:dyDescent="0.25">
      <c r="C7" s="11" t="s">
        <v>11</v>
      </c>
      <c r="E7" s="15">
        <f>+Q34</f>
        <v>11.75</v>
      </c>
      <c r="G7">
        <v>2017</v>
      </c>
      <c r="H7" s="9">
        <f>+COUNTIF($H25:$Q25,"Ganado")</f>
        <v>1</v>
      </c>
      <c r="I7" s="9"/>
      <c r="J7" s="9"/>
      <c r="K7" s="9">
        <f>+COUNTIF($H25:$Q25,"Empatado")</f>
        <v>1</v>
      </c>
      <c r="L7" s="9"/>
      <c r="M7" s="9"/>
      <c r="N7" s="9">
        <f>+COUNTIF($H25:$Q25,"Perdido")</f>
        <v>1</v>
      </c>
      <c r="O7" s="10"/>
      <c r="P7" s="10"/>
      <c r="Q7">
        <f t="shared" si="0"/>
        <v>3</v>
      </c>
    </row>
    <row r="8" spans="3:17" ht="15.75" thickBot="1" x14ac:dyDescent="0.3">
      <c r="C8" s="16" t="s">
        <v>12</v>
      </c>
      <c r="D8" s="17"/>
      <c r="E8" s="18">
        <f>+E7/E6</f>
        <v>0.48958333333333331</v>
      </c>
      <c r="G8">
        <v>2018</v>
      </c>
      <c r="H8" s="9">
        <f t="shared" ref="H8:H11" si="1">+COUNTIF($H26:$Q26,"Ganado")</f>
        <v>0</v>
      </c>
      <c r="I8" s="9"/>
      <c r="J8" s="9"/>
      <c r="K8" s="9">
        <f t="shared" ref="K8:K11" si="2">+COUNTIF($H26:$Q26,"Empatado")</f>
        <v>0</v>
      </c>
      <c r="L8" s="9"/>
      <c r="M8" s="9"/>
      <c r="N8" s="9">
        <f t="shared" ref="N8:N11" si="3">+COUNTIF($H26:$Q26,"Perdido")</f>
        <v>3</v>
      </c>
      <c r="O8" s="10"/>
      <c r="P8" s="10"/>
      <c r="Q8">
        <f t="shared" ref="Q8" si="4">+SUM(H8:N8)</f>
        <v>3</v>
      </c>
    </row>
    <row r="9" spans="3:17" ht="15.75" thickTop="1" x14ac:dyDescent="0.25">
      <c r="G9">
        <v>2019</v>
      </c>
      <c r="H9" s="9">
        <f t="shared" si="1"/>
        <v>2</v>
      </c>
      <c r="I9" s="9"/>
      <c r="J9" s="9"/>
      <c r="K9" s="9">
        <f t="shared" si="2"/>
        <v>0</v>
      </c>
      <c r="L9" s="9"/>
      <c r="M9" s="9"/>
      <c r="N9" s="9">
        <f t="shared" si="3"/>
        <v>1</v>
      </c>
      <c r="O9" s="10"/>
      <c r="P9" s="10"/>
      <c r="Q9">
        <f t="shared" si="0"/>
        <v>3</v>
      </c>
    </row>
    <row r="10" spans="3:17" ht="15.75" thickBot="1" x14ac:dyDescent="0.3">
      <c r="C10" s="4" t="s">
        <v>14</v>
      </c>
      <c r="D10" s="4">
        <f>+SUM(D11:D13)</f>
        <v>39</v>
      </c>
      <c r="E10" s="20" t="s">
        <v>15</v>
      </c>
      <c r="G10">
        <v>2020</v>
      </c>
      <c r="H10" s="9">
        <f t="shared" si="1"/>
        <v>0</v>
      </c>
      <c r="I10" s="9"/>
      <c r="J10" s="9"/>
      <c r="K10" s="9">
        <f t="shared" si="2"/>
        <v>2</v>
      </c>
      <c r="L10" s="9"/>
      <c r="M10" s="9"/>
      <c r="N10" s="9">
        <f t="shared" si="3"/>
        <v>1</v>
      </c>
      <c r="O10" s="10"/>
      <c r="P10" s="10"/>
      <c r="Q10">
        <f t="shared" ref="Q10:Q11" si="5">+SUM(H10:N10)</f>
        <v>3</v>
      </c>
    </row>
    <row r="11" spans="3:17" ht="15.75" thickTop="1" x14ac:dyDescent="0.25">
      <c r="C11" s="21" t="s">
        <v>16</v>
      </c>
      <c r="D11">
        <f>+D16+D21+D26</f>
        <v>15</v>
      </c>
      <c r="E11" s="22">
        <f>+D11/D$10</f>
        <v>0.38461538461538464</v>
      </c>
      <c r="G11">
        <v>2021</v>
      </c>
      <c r="H11" s="9">
        <f t="shared" si="1"/>
        <v>1</v>
      </c>
      <c r="I11" s="9"/>
      <c r="J11" s="9"/>
      <c r="K11" s="9">
        <f t="shared" si="2"/>
        <v>0</v>
      </c>
      <c r="L11" s="9"/>
      <c r="M11" s="9"/>
      <c r="N11" s="9">
        <f t="shared" si="3"/>
        <v>2</v>
      </c>
      <c r="O11" s="10"/>
      <c r="P11" s="10"/>
      <c r="Q11">
        <f t="shared" si="5"/>
        <v>3</v>
      </c>
    </row>
    <row r="12" spans="3:17" x14ac:dyDescent="0.25">
      <c r="C12" s="21" t="s">
        <v>23</v>
      </c>
      <c r="D12">
        <f>+D17+D22+D27</f>
        <v>7</v>
      </c>
      <c r="E12" s="22">
        <f>+D12/D$10</f>
        <v>0.17948717948717949</v>
      </c>
      <c r="G12">
        <v>2022</v>
      </c>
      <c r="H12" s="9">
        <f>+COUNTIF($H30:$Q30,"Ganado")</f>
        <v>1</v>
      </c>
      <c r="I12" s="9"/>
      <c r="J12" s="9"/>
      <c r="K12" s="9">
        <f>+COUNTIF($H30:$Q30,"Empatado")</f>
        <v>1</v>
      </c>
      <c r="L12" s="9"/>
      <c r="M12" s="9"/>
      <c r="N12" s="9">
        <f>+COUNTIF($H30:$Q30,"Perdido")</f>
        <v>1</v>
      </c>
      <c r="O12" s="10"/>
      <c r="P12" s="10"/>
      <c r="Q12">
        <f t="shared" ref="Q12" si="6">+SUM(H12:N12)</f>
        <v>3</v>
      </c>
    </row>
    <row r="13" spans="3:17" x14ac:dyDescent="0.25">
      <c r="C13" s="21" t="s">
        <v>5</v>
      </c>
      <c r="D13">
        <f>+D18+D23+D28</f>
        <v>17</v>
      </c>
      <c r="E13" s="22">
        <f>+D13/D$10</f>
        <v>0.4358974358974359</v>
      </c>
      <c r="G13">
        <v>2023</v>
      </c>
      <c r="H13" s="9">
        <f>+COUNTIF($H31:$Q31,"Ganado")</f>
        <v>1</v>
      </c>
      <c r="I13" s="9"/>
      <c r="J13" s="9"/>
      <c r="K13" s="9">
        <f>+COUNTIF($H31:$Q31,"Empatado")</f>
        <v>0</v>
      </c>
      <c r="L13" s="9"/>
      <c r="M13" s="9"/>
      <c r="N13" s="9">
        <f>+COUNTIF($H31:$Q31,"Perdido")</f>
        <v>2</v>
      </c>
      <c r="O13" s="10"/>
      <c r="P13" s="10"/>
      <c r="Q13">
        <f t="shared" ref="Q13" si="7">+SUM(H13:N13)</f>
        <v>3</v>
      </c>
    </row>
    <row r="14" spans="3:17" x14ac:dyDescent="0.25">
      <c r="G14">
        <v>2024</v>
      </c>
      <c r="H14" s="9">
        <f>+COUNTIF($H32:$Q32,"Ganado")</f>
        <v>3</v>
      </c>
      <c r="I14" s="9"/>
      <c r="J14" s="9"/>
      <c r="K14" s="9">
        <f>+COUNTIF($H32:$Q32,"Empatado")</f>
        <v>0</v>
      </c>
      <c r="L14" s="9"/>
      <c r="M14" s="9"/>
      <c r="N14" s="9">
        <f>+COUNTIF($H32:$Q32,"Perdido")</f>
        <v>0</v>
      </c>
      <c r="O14" s="10"/>
      <c r="P14" s="10"/>
      <c r="Q14">
        <f t="shared" ref="Q14" si="8">+SUM(H14:N14)</f>
        <v>3</v>
      </c>
    </row>
    <row r="15" spans="3:17" ht="15.75" thickBot="1" x14ac:dyDescent="0.3">
      <c r="C15" s="4" t="s">
        <v>27</v>
      </c>
      <c r="D15" s="4">
        <f>+SUM(D16:D18)</f>
        <v>13</v>
      </c>
      <c r="E15" s="20" t="s">
        <v>15</v>
      </c>
      <c r="G15">
        <v>2025</v>
      </c>
      <c r="H15" s="9"/>
      <c r="I15" s="9"/>
      <c r="J15" s="9"/>
      <c r="K15" s="9"/>
      <c r="L15" s="9"/>
      <c r="M15" s="9"/>
      <c r="N15" s="9"/>
      <c r="O15" s="10"/>
      <c r="P15" s="10"/>
    </row>
    <row r="16" spans="3:17" ht="16.5" thickTop="1" thickBot="1" x14ac:dyDescent="0.3">
      <c r="C16" s="21" t="s">
        <v>29</v>
      </c>
      <c r="D16">
        <f>+COUNTIF($I$21:$I$33,"Ganado")</f>
        <v>6</v>
      </c>
      <c r="E16" s="22">
        <f>+D16/D$15</f>
        <v>0.46153846153846156</v>
      </c>
      <c r="G16" s="19" t="s">
        <v>13</v>
      </c>
      <c r="H16" s="19">
        <f>SUM(H3:H11)</f>
        <v>8</v>
      </c>
      <c r="I16" s="19"/>
      <c r="J16" s="19"/>
      <c r="K16" s="19">
        <f>SUM(K3:K11)</f>
        <v>6</v>
      </c>
      <c r="L16" s="19"/>
      <c r="M16" s="19"/>
      <c r="N16" s="19">
        <f>SUM(N3:N11)</f>
        <v>13</v>
      </c>
      <c r="O16" s="19"/>
      <c r="P16" s="19"/>
      <c r="Q16" s="19">
        <f>SUM(Q3:Q15)</f>
        <v>36</v>
      </c>
    </row>
    <row r="17" spans="3:17" x14ac:dyDescent="0.25">
      <c r="C17" s="21" t="s">
        <v>23</v>
      </c>
      <c r="D17">
        <f>+COUNTIF($I$21:$I$33,"Empatado")</f>
        <v>3</v>
      </c>
      <c r="E17" s="22">
        <f>+D17/D$15</f>
        <v>0.23076923076923078</v>
      </c>
    </row>
    <row r="18" spans="3:17" ht="15.75" thickBot="1" x14ac:dyDescent="0.3">
      <c r="C18" s="21" t="s">
        <v>5</v>
      </c>
      <c r="D18">
        <f>+COUNTIF($I$21:$I$33,"Perdido")</f>
        <v>4</v>
      </c>
      <c r="E18" s="22">
        <f>+D18/D$15</f>
        <v>0.30769230769230771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ht="15.75" thickBot="1" x14ac:dyDescent="0.3">
      <c r="C20" s="4" t="s">
        <v>32</v>
      </c>
      <c r="D20" s="4">
        <f>+SUM(D21:D23)</f>
        <v>13</v>
      </c>
      <c r="E20" s="20" t="s">
        <v>15</v>
      </c>
      <c r="G20" s="29" t="s">
        <v>25</v>
      </c>
      <c r="H20" s="30">
        <f>H19*$E$5</f>
        <v>6</v>
      </c>
      <c r="I20" s="30"/>
      <c r="J20" s="31"/>
      <c r="K20" s="30">
        <f>K19*$E$5</f>
        <v>6</v>
      </c>
      <c r="L20" s="30"/>
      <c r="M20" s="31"/>
      <c r="N20" s="30">
        <f>N19*$E$5</f>
        <v>12</v>
      </c>
      <c r="O20" s="30"/>
      <c r="P20" s="31"/>
      <c r="Q20" s="29">
        <f>+SUM(H20:N20)</f>
        <v>24</v>
      </c>
    </row>
    <row r="21" spans="3:17" ht="15.75" thickTop="1" x14ac:dyDescent="0.25">
      <c r="C21" s="21" t="s">
        <v>16</v>
      </c>
      <c r="D21">
        <f>+COUNTIF($L$21:$L$33,"Ganado")</f>
        <v>4</v>
      </c>
      <c r="E21" s="22">
        <f>+D21/D$20</f>
        <v>0.30769230769230771</v>
      </c>
      <c r="G21" s="8">
        <v>2013</v>
      </c>
      <c r="H21" s="32">
        <v>0.5</v>
      </c>
      <c r="I21" s="9" t="str">
        <f t="shared" ref="I21:I29" si="9">+IF(H21=0.5,"Ganado",IF(H21=0.25,"Empatado",IF(H21&lt;0.25,"Perdido")))</f>
        <v>Ganado</v>
      </c>
      <c r="J21" s="33" t="s">
        <v>36</v>
      </c>
      <c r="K21" s="32">
        <v>0.5</v>
      </c>
      <c r="L21" s="9" t="str">
        <f t="shared" ref="L21:L29" si="10">+IF(K21=0.5,"Ganado",IF(K21=0.25,"Empatado",IF(K21&lt;0.25,"Perdido")))</f>
        <v>Ganado</v>
      </c>
      <c r="M21" s="33" t="s">
        <v>36</v>
      </c>
      <c r="N21" s="32">
        <v>1</v>
      </c>
      <c r="O21" s="9" t="str">
        <f t="shared" ref="O21:O29" si="11">+IF(N21=1,"Ganado",IF(N21=0.5,"Empatado",IF(N21&lt;0.5,"Perdido")))</f>
        <v>Ganado</v>
      </c>
      <c r="P21" s="33" t="s">
        <v>79</v>
      </c>
      <c r="Q21" s="34">
        <f t="shared" ref="Q21:Q29" si="12">+H21+K21+N21</f>
        <v>2</v>
      </c>
    </row>
    <row r="22" spans="3:17" x14ac:dyDescent="0.25">
      <c r="C22" s="21" t="s">
        <v>23</v>
      </c>
      <c r="D22">
        <f>+COUNTIF($L$21:$L$33,"Empatado")</f>
        <v>4</v>
      </c>
      <c r="E22" s="22">
        <f>+D22/D$20</f>
        <v>0.30769230769230771</v>
      </c>
      <c r="G22">
        <f>+G21+1</f>
        <v>2014</v>
      </c>
      <c r="H22" s="32">
        <v>0.25</v>
      </c>
      <c r="I22" s="9" t="str">
        <f t="shared" si="9"/>
        <v>Empatado</v>
      </c>
      <c r="J22" s="33" t="s">
        <v>38</v>
      </c>
      <c r="K22" s="32">
        <v>0.25</v>
      </c>
      <c r="L22" s="9" t="str">
        <f t="shared" si="10"/>
        <v>Empatado</v>
      </c>
      <c r="M22" s="33" t="s">
        <v>38</v>
      </c>
      <c r="N22" s="32">
        <v>0</v>
      </c>
      <c r="O22" s="9" t="str">
        <f t="shared" si="11"/>
        <v>Perdido</v>
      </c>
      <c r="P22" s="33" t="s">
        <v>45</v>
      </c>
      <c r="Q22" s="34">
        <f t="shared" si="12"/>
        <v>0.5</v>
      </c>
    </row>
    <row r="23" spans="3:17" x14ac:dyDescent="0.25">
      <c r="C23" s="21" t="s">
        <v>5</v>
      </c>
      <c r="D23">
        <f>+COUNTIF($L$21:$L$33,"Perdido")</f>
        <v>5</v>
      </c>
      <c r="E23" s="22">
        <f>+D23/D$20</f>
        <v>0.38461538461538464</v>
      </c>
      <c r="G23">
        <f t="shared" ref="G23:G24" si="13">+G22+1</f>
        <v>2015</v>
      </c>
      <c r="H23" s="32">
        <v>0.25</v>
      </c>
      <c r="I23" s="9" t="str">
        <f t="shared" si="9"/>
        <v>Empatado</v>
      </c>
      <c r="J23" s="33" t="s">
        <v>38</v>
      </c>
      <c r="K23" s="32">
        <v>0.5</v>
      </c>
      <c r="L23" s="9" t="str">
        <f t="shared" si="10"/>
        <v>Ganado</v>
      </c>
      <c r="M23" s="33" t="s">
        <v>38</v>
      </c>
      <c r="N23" s="32">
        <v>0</v>
      </c>
      <c r="O23" s="9" t="str">
        <f t="shared" si="11"/>
        <v>Perdido</v>
      </c>
      <c r="P23" s="33" t="s">
        <v>46</v>
      </c>
      <c r="Q23" s="34">
        <f t="shared" si="12"/>
        <v>0.75</v>
      </c>
    </row>
    <row r="24" spans="3:17" x14ac:dyDescent="0.25">
      <c r="G24">
        <f t="shared" si="13"/>
        <v>2016</v>
      </c>
      <c r="H24" s="32">
        <v>0</v>
      </c>
      <c r="I24" s="9" t="str">
        <f t="shared" si="9"/>
        <v>Perdido</v>
      </c>
      <c r="J24" s="33" t="s">
        <v>47</v>
      </c>
      <c r="K24" s="32">
        <v>0</v>
      </c>
      <c r="L24" s="9" t="str">
        <f t="shared" si="10"/>
        <v>Perdido</v>
      </c>
      <c r="M24" s="33" t="s">
        <v>47</v>
      </c>
      <c r="N24" s="32">
        <v>0</v>
      </c>
      <c r="O24" s="9" t="str">
        <f t="shared" si="11"/>
        <v>Perdido</v>
      </c>
      <c r="P24" s="33" t="s">
        <v>43</v>
      </c>
      <c r="Q24" s="34">
        <f t="shared" si="12"/>
        <v>0</v>
      </c>
    </row>
    <row r="25" spans="3:17" ht="15.75" thickBot="1" x14ac:dyDescent="0.3">
      <c r="C25" s="4" t="s">
        <v>33</v>
      </c>
      <c r="D25" s="4">
        <f>+SUM(D26:D28)</f>
        <v>13</v>
      </c>
      <c r="E25" s="20" t="s">
        <v>15</v>
      </c>
      <c r="G25">
        <v>2017</v>
      </c>
      <c r="H25" s="32">
        <v>0</v>
      </c>
      <c r="I25" s="9" t="str">
        <f t="shared" si="9"/>
        <v>Perdido</v>
      </c>
      <c r="J25" s="33" t="s">
        <v>42</v>
      </c>
      <c r="K25" s="32">
        <v>0.25</v>
      </c>
      <c r="L25" s="9" t="str">
        <f t="shared" si="10"/>
        <v>Empatado</v>
      </c>
      <c r="M25" s="33" t="s">
        <v>42</v>
      </c>
      <c r="N25" s="32">
        <v>1</v>
      </c>
      <c r="O25" s="9" t="str">
        <f t="shared" si="11"/>
        <v>Ganado</v>
      </c>
      <c r="P25" s="33" t="s">
        <v>8</v>
      </c>
      <c r="Q25" s="34">
        <f t="shared" si="12"/>
        <v>1.25</v>
      </c>
    </row>
    <row r="26" spans="3:17" ht="15.75" thickTop="1" x14ac:dyDescent="0.25">
      <c r="C26" s="21" t="s">
        <v>16</v>
      </c>
      <c r="D26">
        <f>+COUNTIF($O$21:$O$33,"Ganado")</f>
        <v>5</v>
      </c>
      <c r="E26" s="22">
        <f>+D26/D$25</f>
        <v>0.38461538461538464</v>
      </c>
      <c r="G26">
        <v>2018</v>
      </c>
      <c r="H26" s="32">
        <v>0</v>
      </c>
      <c r="I26" s="9" t="str">
        <f t="shared" ref="I26" si="14">+IF(H26=0.5,"Ganado",IF(H26=0.25,"Empatado",IF(H26&lt;0.25,"Perdido")))</f>
        <v>Perdido</v>
      </c>
      <c r="J26" s="33" t="s">
        <v>48</v>
      </c>
      <c r="K26" s="32">
        <v>0</v>
      </c>
      <c r="L26" s="9" t="str">
        <f t="shared" ref="L26" si="15">+IF(K26=0.5,"Ganado",IF(K26=0.25,"Empatado",IF(K26&lt;0.25,"Perdido")))</f>
        <v>Perdido</v>
      </c>
      <c r="M26" s="33" t="s">
        <v>48</v>
      </c>
      <c r="N26" s="32">
        <v>0</v>
      </c>
      <c r="O26" s="9" t="str">
        <f t="shared" ref="O26" si="16">+IF(N26=1,"Ganado",IF(N26=0.5,"Empatado",IF(N26&lt;0.5,"Perdido")))</f>
        <v>Perdido</v>
      </c>
      <c r="P26" s="33" t="s">
        <v>43</v>
      </c>
      <c r="Q26" s="34">
        <f t="shared" ref="Q26" si="17">+H26+K26+N26</f>
        <v>0</v>
      </c>
    </row>
    <row r="27" spans="3:17" x14ac:dyDescent="0.25">
      <c r="C27" s="21" t="s">
        <v>23</v>
      </c>
      <c r="D27">
        <f>+COUNTIF($O$21:$O$33,"Empatado")</f>
        <v>0</v>
      </c>
      <c r="E27" s="22">
        <f>+D27/D$25</f>
        <v>0</v>
      </c>
      <c r="G27">
        <v>2019</v>
      </c>
      <c r="H27" s="32">
        <v>0.5</v>
      </c>
      <c r="I27" s="9" t="str">
        <f t="shared" si="9"/>
        <v>Ganado</v>
      </c>
      <c r="J27" s="33" t="s">
        <v>129</v>
      </c>
      <c r="K27" s="32">
        <v>0</v>
      </c>
      <c r="L27" s="9" t="str">
        <f t="shared" si="10"/>
        <v>Perdido</v>
      </c>
      <c r="M27" s="33" t="s">
        <v>129</v>
      </c>
      <c r="N27" s="32">
        <v>1</v>
      </c>
      <c r="O27" s="9" t="str">
        <f t="shared" si="11"/>
        <v>Ganado</v>
      </c>
      <c r="P27" s="33" t="s">
        <v>8</v>
      </c>
      <c r="Q27" s="34">
        <f t="shared" si="12"/>
        <v>1.5</v>
      </c>
    </row>
    <row r="28" spans="3:17" x14ac:dyDescent="0.25">
      <c r="C28" s="21" t="s">
        <v>5</v>
      </c>
      <c r="D28">
        <f>+COUNTIF($O$21:$O$33,"Perdido")</f>
        <v>8</v>
      </c>
      <c r="E28" s="22">
        <f>+D28/D$25</f>
        <v>0.61538461538461542</v>
      </c>
      <c r="G28">
        <v>2020</v>
      </c>
      <c r="H28" s="32">
        <v>0.25</v>
      </c>
      <c r="I28" s="9" t="str">
        <f t="shared" si="9"/>
        <v>Empatado</v>
      </c>
      <c r="J28" s="33" t="s">
        <v>152</v>
      </c>
      <c r="K28" s="32">
        <v>0.25</v>
      </c>
      <c r="L28" s="9" t="str">
        <f t="shared" si="10"/>
        <v>Empatado</v>
      </c>
      <c r="M28" s="33" t="s">
        <v>152</v>
      </c>
      <c r="N28" s="32">
        <v>0</v>
      </c>
      <c r="O28" s="9" t="str">
        <f t="shared" si="11"/>
        <v>Perdido</v>
      </c>
      <c r="P28" s="33" t="s">
        <v>43</v>
      </c>
      <c r="Q28" s="34">
        <f t="shared" si="12"/>
        <v>0.5</v>
      </c>
    </row>
    <row r="29" spans="3:17" x14ac:dyDescent="0.25">
      <c r="G29">
        <v>2021</v>
      </c>
      <c r="H29" s="32">
        <v>0.5</v>
      </c>
      <c r="I29" s="9" t="str">
        <f t="shared" si="9"/>
        <v>Ganado</v>
      </c>
      <c r="J29" s="33" t="s">
        <v>153</v>
      </c>
      <c r="K29" s="32">
        <v>0</v>
      </c>
      <c r="L29" s="9" t="str">
        <f t="shared" si="10"/>
        <v>Perdido</v>
      </c>
      <c r="M29" s="33" t="s">
        <v>153</v>
      </c>
      <c r="N29" s="32">
        <v>0</v>
      </c>
      <c r="O29" s="9" t="str">
        <f t="shared" si="11"/>
        <v>Perdido</v>
      </c>
      <c r="P29" s="33" t="s">
        <v>46</v>
      </c>
      <c r="Q29" s="34">
        <f t="shared" si="12"/>
        <v>0.5</v>
      </c>
    </row>
    <row r="30" spans="3:17" x14ac:dyDescent="0.25"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195</v>
      </c>
      <c r="K30" s="32">
        <v>0.25</v>
      </c>
      <c r="L30" s="9" t="str">
        <f>+IF(K30=0.5,"Ganado",IF(K30=0.25,"Empatado",IF(K30&lt;0.25,"Perdido")))</f>
        <v>Empatado</v>
      </c>
      <c r="M30" s="33" t="s">
        <v>195</v>
      </c>
      <c r="N30" s="32">
        <v>0</v>
      </c>
      <c r="O30" s="9" t="str">
        <f>+IF(N30=1,"Ganado",IF(N30=0.5,"Empatado",IF(N30&lt;0.5,"Perdido")))</f>
        <v>Perdido</v>
      </c>
      <c r="P30" s="33" t="s">
        <v>52</v>
      </c>
      <c r="Q30" s="34">
        <f>+H30+K30+N30</f>
        <v>0.75</v>
      </c>
    </row>
    <row r="31" spans="3:17" x14ac:dyDescent="0.25">
      <c r="G31">
        <v>2023</v>
      </c>
      <c r="H31" s="32">
        <v>0</v>
      </c>
      <c r="I31" s="9" t="str">
        <f>+IF(H31=0.5,"Ganado",IF(H31=0.25,"Empatado",IF(H31&lt;0.25,"Perdido")))</f>
        <v>Perdido</v>
      </c>
      <c r="J31" s="33" t="s">
        <v>212</v>
      </c>
      <c r="K31" s="32">
        <v>0</v>
      </c>
      <c r="L31" s="9" t="str">
        <f>+IF(K31=0.5,"Ganado",IF(K31=0.25,"Empatado",IF(K31&lt;0.25,"Perdido")))</f>
        <v>Perdido</v>
      </c>
      <c r="M31" s="33" t="s">
        <v>212</v>
      </c>
      <c r="N31" s="32">
        <v>1</v>
      </c>
      <c r="O31" s="9" t="str">
        <f>+IF(N31=1,"Ganado",IF(N31=0.5,"Empatado",IF(N31&lt;0.5,"Perdido")))</f>
        <v>Ganado</v>
      </c>
      <c r="P31" s="33" t="s">
        <v>58</v>
      </c>
      <c r="Q31" s="34">
        <f>+H31+K31+N31</f>
        <v>1</v>
      </c>
    </row>
    <row r="32" spans="3:17" ht="15.75" thickBot="1" x14ac:dyDescent="0.3">
      <c r="G32">
        <v>2024</v>
      </c>
      <c r="H32" s="32">
        <v>0.5</v>
      </c>
      <c r="I32" s="9" t="str">
        <f>+IF(H32=0.5,"Ganado",IF(H32=0.25,"Empatado",IF(H32&lt;0.25,"Perdido")))</f>
        <v>Ganado</v>
      </c>
      <c r="J32" s="35" t="s">
        <v>224</v>
      </c>
      <c r="K32" s="32">
        <v>0.5</v>
      </c>
      <c r="L32" s="9" t="str">
        <f>+IF(K32=0.5,"Ganado",IF(K32=0.25,"Empatado",IF(K32&lt;0.25,"Perdido")))</f>
        <v>Ganado</v>
      </c>
      <c r="M32" s="35" t="s">
        <v>224</v>
      </c>
      <c r="N32" s="32">
        <v>1</v>
      </c>
      <c r="O32" s="9" t="str">
        <f>+IF(N32=1,"Ganado",IF(N32=0.5,"Empatado",IF(N32&lt;0.5,"Perdido")))</f>
        <v>Ganado</v>
      </c>
      <c r="P32" s="35" t="s">
        <v>43</v>
      </c>
      <c r="Q32" s="34">
        <f>+H32+K32+N32</f>
        <v>2</v>
      </c>
    </row>
    <row r="33" spans="7:17" ht="16.5" thickTop="1" thickBot="1" x14ac:dyDescent="0.3">
      <c r="G33">
        <v>2025</v>
      </c>
      <c r="H33" s="32">
        <v>0.5</v>
      </c>
      <c r="I33" s="9" t="str">
        <f>+IF(H33=0.5,"Ganado",IF(H33=0.25,"Empatado",IF(H33&lt;0.25,"Perdido")))</f>
        <v>Ganado</v>
      </c>
      <c r="J33" s="103" t="s">
        <v>233</v>
      </c>
      <c r="K33" s="32">
        <v>0.5</v>
      </c>
      <c r="L33" s="9" t="str">
        <f>+IF(K33=0.5,"Ganado",IF(K33=0.25,"Empatado",IF(K33&lt;0.25,"Perdido")))</f>
        <v>Ganado</v>
      </c>
      <c r="M33" s="103" t="s">
        <v>233</v>
      </c>
      <c r="N33" s="32">
        <v>0</v>
      </c>
      <c r="O33" s="9" t="str">
        <f>+IF(N33=1,"Ganado",IF(N33=0.5,"Empatado",IF(N33&lt;0.5,"Perdido")))</f>
        <v>Perdido</v>
      </c>
      <c r="P33" s="148" t="s">
        <v>74</v>
      </c>
      <c r="Q33" s="34">
        <f>+H33+K33+N33</f>
        <v>1</v>
      </c>
    </row>
    <row r="34" spans="7:17" ht="16.5" thickTop="1" thickBot="1" x14ac:dyDescent="0.3">
      <c r="G34" s="19" t="s">
        <v>6</v>
      </c>
      <c r="H34" s="38">
        <f>SUM(H21:H33)</f>
        <v>3.75</v>
      </c>
      <c r="I34" s="19"/>
      <c r="J34" s="39"/>
      <c r="K34" s="38">
        <f>SUM(K21:K33)</f>
        <v>3</v>
      </c>
      <c r="L34" s="19"/>
      <c r="M34" s="39"/>
      <c r="N34" s="38">
        <f>SUM(N21:N33)</f>
        <v>5</v>
      </c>
      <c r="O34" s="19"/>
      <c r="P34" s="39"/>
      <c r="Q34" s="38">
        <f>SUM(Q21:Q33)</f>
        <v>11.75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Q34"/>
  <sheetViews>
    <sheetView zoomScale="70" zoomScaleNormal="70" workbookViewId="0">
      <selection activeCell="N40" sqref="N40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1" spans="3:17" ht="15.75" thickBot="1" x14ac:dyDescent="0.3"/>
    <row r="2" spans="3:17" ht="16.5" thickTop="1" thickBot="1" x14ac:dyDescent="0.3">
      <c r="C2" s="1" t="s">
        <v>0</v>
      </c>
      <c r="D2" s="2"/>
      <c r="E2" s="3" t="s">
        <v>34</v>
      </c>
      <c r="G2" s="4" t="s">
        <v>2</v>
      </c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4" t="s">
        <v>6</v>
      </c>
    </row>
    <row r="3" spans="3:17" ht="16.5" thickTop="1" thickBot="1" x14ac:dyDescent="0.3">
      <c r="C3" s="5" t="s">
        <v>7</v>
      </c>
      <c r="D3" s="6"/>
      <c r="E3" s="7" t="s">
        <v>30</v>
      </c>
      <c r="G3" s="8">
        <v>2013</v>
      </c>
      <c r="H3" s="9">
        <f>+COUNTIF($H21:$Q21,"Ganado")</f>
        <v>1</v>
      </c>
      <c r="I3" s="9"/>
      <c r="J3" s="9"/>
      <c r="K3" s="9">
        <f>+COUNTIF($H21:$Q21,"Empatado")</f>
        <v>1</v>
      </c>
      <c r="L3" s="9"/>
      <c r="M3" s="9"/>
      <c r="N3" s="9">
        <f>+COUNTIF($H21:$Q21,"Perdido")</f>
        <v>1</v>
      </c>
      <c r="O3" s="10"/>
      <c r="P3" s="10"/>
      <c r="Q3">
        <f t="shared" ref="Q3:Q9" si="0">+SUM(H3:N3)</f>
        <v>3</v>
      </c>
    </row>
    <row r="4" spans="3:17" ht="15.75" thickTop="1" x14ac:dyDescent="0.25">
      <c r="C4" s="11"/>
      <c r="E4" s="12"/>
      <c r="G4">
        <v>2014</v>
      </c>
      <c r="H4" s="9">
        <f>+COUNTIF($H22:$Q22,"Ganado")</f>
        <v>0</v>
      </c>
      <c r="I4" s="9"/>
      <c r="J4" s="9"/>
      <c r="K4" s="9">
        <f>+COUNTIF($H22:$Q22,"Empatado")</f>
        <v>0</v>
      </c>
      <c r="L4" s="9"/>
      <c r="M4" s="9"/>
      <c r="N4" s="9">
        <f>+COUNTIF($H22:$Q22,"Perdido")</f>
        <v>3</v>
      </c>
      <c r="O4" s="10"/>
      <c r="P4" s="10"/>
      <c r="Q4">
        <f t="shared" si="0"/>
        <v>3</v>
      </c>
    </row>
    <row r="5" spans="3:17" x14ac:dyDescent="0.25">
      <c r="C5" s="11" t="s">
        <v>9</v>
      </c>
      <c r="E5" s="13">
        <f>+COUNT(G3:G15)</f>
        <v>13</v>
      </c>
      <c r="F5" s="14"/>
      <c r="G5">
        <v>2015</v>
      </c>
      <c r="H5" s="9">
        <f>+COUNTIF($H23:$Q23,"Ganado")</f>
        <v>1</v>
      </c>
      <c r="I5" s="9"/>
      <c r="J5" s="9"/>
      <c r="K5" s="9">
        <f>+COUNTIF($H23:$Q23,"Empatado")</f>
        <v>0</v>
      </c>
      <c r="L5" s="9"/>
      <c r="M5" s="9"/>
      <c r="N5" s="9">
        <f>+COUNTIF($H23:$Q23,"Perdido")</f>
        <v>2</v>
      </c>
      <c r="O5" s="10"/>
      <c r="P5" s="10"/>
      <c r="Q5">
        <f t="shared" si="0"/>
        <v>3</v>
      </c>
    </row>
    <row r="6" spans="3:17" x14ac:dyDescent="0.25">
      <c r="C6" s="11" t="s">
        <v>10</v>
      </c>
      <c r="E6" s="15">
        <f>+E5*2</f>
        <v>26</v>
      </c>
      <c r="G6">
        <v>2016</v>
      </c>
      <c r="H6" s="9">
        <f>+COUNTIF($H24:$Q24,"Ganado")</f>
        <v>2</v>
      </c>
      <c r="I6" s="9"/>
      <c r="J6" s="9"/>
      <c r="K6" s="9">
        <f>+COUNTIF($H24:$Q24,"Empatado")</f>
        <v>1</v>
      </c>
      <c r="L6" s="9"/>
      <c r="M6" s="9"/>
      <c r="N6" s="9">
        <f>+COUNTIF($H24:$Q24,"Perdido")</f>
        <v>0</v>
      </c>
      <c r="O6" s="10"/>
      <c r="P6" s="10"/>
      <c r="Q6">
        <f t="shared" si="0"/>
        <v>3</v>
      </c>
    </row>
    <row r="7" spans="3:17" x14ac:dyDescent="0.25">
      <c r="C7" s="11" t="s">
        <v>11</v>
      </c>
      <c r="E7" s="15">
        <f>+Q34</f>
        <v>14.25</v>
      </c>
      <c r="G7">
        <v>2017</v>
      </c>
      <c r="H7" s="9">
        <f>+COUNTIF($H25:$Q25,"Ganado")</f>
        <v>2</v>
      </c>
      <c r="I7" s="9"/>
      <c r="J7" s="9"/>
      <c r="K7" s="9">
        <f>+COUNTIF($H25:$Q25,"Empatado")</f>
        <v>0</v>
      </c>
      <c r="L7" s="9"/>
      <c r="M7" s="9"/>
      <c r="N7" s="9">
        <f>+COUNTIF($H25:$Q25,"Perdido")</f>
        <v>1</v>
      </c>
      <c r="O7" s="10"/>
      <c r="P7" s="10"/>
      <c r="Q7">
        <f t="shared" si="0"/>
        <v>3</v>
      </c>
    </row>
    <row r="8" spans="3:17" ht="15.75" thickBot="1" x14ac:dyDescent="0.3">
      <c r="C8" s="16" t="s">
        <v>12</v>
      </c>
      <c r="D8" s="17"/>
      <c r="E8" s="18">
        <f>+E7/E6</f>
        <v>0.54807692307692313</v>
      </c>
      <c r="G8">
        <v>2018</v>
      </c>
      <c r="H8" s="9">
        <f t="shared" ref="H8:H11" si="1">+COUNTIF($H26:$Q26,"Ganado")</f>
        <v>1</v>
      </c>
      <c r="I8" s="9"/>
      <c r="J8" s="9"/>
      <c r="K8" s="9">
        <f t="shared" ref="K8:K11" si="2">+COUNTIF($H26:$Q26,"Empatado")</f>
        <v>1</v>
      </c>
      <c r="L8" s="9"/>
      <c r="M8" s="9"/>
      <c r="N8" s="9">
        <f t="shared" ref="N8:N11" si="3">+COUNTIF($H26:$Q26,"Perdido")</f>
        <v>1</v>
      </c>
      <c r="O8" s="10"/>
      <c r="P8" s="10"/>
      <c r="Q8">
        <f t="shared" ref="Q8" si="4">+SUM(H8:N8)</f>
        <v>3</v>
      </c>
    </row>
    <row r="9" spans="3:17" ht="15.75" thickTop="1" x14ac:dyDescent="0.25">
      <c r="G9">
        <v>2019</v>
      </c>
      <c r="H9" s="9">
        <f t="shared" si="1"/>
        <v>1</v>
      </c>
      <c r="I9" s="9"/>
      <c r="J9" s="9"/>
      <c r="K9" s="9">
        <f t="shared" si="2"/>
        <v>0</v>
      </c>
      <c r="L9" s="9"/>
      <c r="M9" s="9"/>
      <c r="N9" s="9">
        <f t="shared" si="3"/>
        <v>2</v>
      </c>
      <c r="O9" s="10"/>
      <c r="P9" s="10"/>
      <c r="Q9">
        <f t="shared" si="0"/>
        <v>3</v>
      </c>
    </row>
    <row r="10" spans="3:17" ht="15.75" thickBot="1" x14ac:dyDescent="0.3">
      <c r="C10" s="4" t="s">
        <v>14</v>
      </c>
      <c r="D10" s="4">
        <f>+SUM(D11:D13)</f>
        <v>39</v>
      </c>
      <c r="E10" s="20" t="s">
        <v>15</v>
      </c>
      <c r="G10">
        <v>2020</v>
      </c>
      <c r="H10" s="9">
        <f t="shared" si="1"/>
        <v>1</v>
      </c>
      <c r="I10" s="9"/>
      <c r="J10" s="9"/>
      <c r="K10" s="9">
        <f t="shared" si="2"/>
        <v>0</v>
      </c>
      <c r="L10" s="9"/>
      <c r="M10" s="9"/>
      <c r="N10" s="9">
        <f t="shared" si="3"/>
        <v>2</v>
      </c>
      <c r="O10" s="10"/>
      <c r="P10" s="10"/>
      <c r="Q10">
        <f t="shared" ref="Q10:Q11" si="5">+SUM(H10:N10)</f>
        <v>3</v>
      </c>
    </row>
    <row r="11" spans="3:17" ht="15.75" thickTop="1" x14ac:dyDescent="0.25">
      <c r="C11" s="21" t="s">
        <v>16</v>
      </c>
      <c r="D11">
        <f>+D16+D21+D26</f>
        <v>18</v>
      </c>
      <c r="E11" s="22">
        <f>+D11/D$10</f>
        <v>0.46153846153846156</v>
      </c>
      <c r="G11">
        <v>2021</v>
      </c>
      <c r="H11" s="9">
        <f t="shared" si="1"/>
        <v>2</v>
      </c>
      <c r="I11" s="9"/>
      <c r="J11" s="9"/>
      <c r="K11" s="9">
        <f t="shared" si="2"/>
        <v>0</v>
      </c>
      <c r="L11" s="9"/>
      <c r="M11" s="9"/>
      <c r="N11" s="9">
        <f t="shared" si="3"/>
        <v>1</v>
      </c>
      <c r="O11" s="10"/>
      <c r="P11" s="10"/>
      <c r="Q11">
        <f t="shared" si="5"/>
        <v>3</v>
      </c>
    </row>
    <row r="12" spans="3:17" x14ac:dyDescent="0.25">
      <c r="C12" s="21" t="s">
        <v>23</v>
      </c>
      <c r="D12">
        <f>+D17+D22+D27</f>
        <v>5</v>
      </c>
      <c r="E12" s="22">
        <f>+D12/D$10</f>
        <v>0.12820512820512819</v>
      </c>
      <c r="G12">
        <v>2022</v>
      </c>
      <c r="H12" s="9">
        <f>+COUNTIF($H30:$Q30,"Ganado")</f>
        <v>2</v>
      </c>
      <c r="I12" s="9"/>
      <c r="J12" s="9"/>
      <c r="K12" s="9">
        <f>+COUNTIF($H30:$Q30,"Empatado")</f>
        <v>0</v>
      </c>
      <c r="L12" s="9"/>
      <c r="M12" s="9"/>
      <c r="N12" s="9">
        <f>+COUNTIF($H30:$Q30,"Perdido")</f>
        <v>1</v>
      </c>
      <c r="O12" s="10"/>
      <c r="P12" s="10"/>
      <c r="Q12">
        <f t="shared" ref="Q12:Q13" si="6">+SUM(H12:N12)</f>
        <v>3</v>
      </c>
    </row>
    <row r="13" spans="3:17" x14ac:dyDescent="0.25">
      <c r="C13" s="21" t="s">
        <v>5</v>
      </c>
      <c r="D13">
        <f>+D18+D23+D28</f>
        <v>16</v>
      </c>
      <c r="E13" s="22">
        <f>+D13/D$10</f>
        <v>0.41025641025641024</v>
      </c>
      <c r="G13">
        <v>2023</v>
      </c>
      <c r="H13" s="9">
        <f>+COUNTIF($H31:$Q31,"Ganado")</f>
        <v>2</v>
      </c>
      <c r="I13" s="9"/>
      <c r="J13" s="9"/>
      <c r="K13" s="9">
        <f>+COUNTIF($H31:$Q31,"Empatado")</f>
        <v>0</v>
      </c>
      <c r="L13" s="9"/>
      <c r="M13" s="9"/>
      <c r="N13" s="9">
        <f>+COUNTIF($H31:$Q31,"Perdido")</f>
        <v>1</v>
      </c>
      <c r="O13" s="10"/>
      <c r="P13" s="10"/>
      <c r="Q13">
        <f t="shared" si="6"/>
        <v>3</v>
      </c>
    </row>
    <row r="14" spans="3:17" x14ac:dyDescent="0.25">
      <c r="G14">
        <v>2024</v>
      </c>
      <c r="H14" s="9">
        <f t="shared" ref="H14:H15" si="7">+COUNTIF($H32:$Q32,"Ganado")</f>
        <v>1</v>
      </c>
      <c r="I14" s="9"/>
      <c r="J14" s="9"/>
      <c r="K14" s="9">
        <f t="shared" ref="K14:K15" si="8">+COUNTIF($H32:$Q32,"Empatado")</f>
        <v>2</v>
      </c>
      <c r="L14" s="9"/>
      <c r="M14" s="9"/>
      <c r="N14" s="9">
        <f t="shared" ref="N14:N15" si="9">+COUNTIF($H32:$Q32,"Perdido")</f>
        <v>0</v>
      </c>
      <c r="O14" s="10"/>
      <c r="P14" s="10"/>
      <c r="Q14">
        <f t="shared" ref="Q14:Q15" si="10">+SUM(H14:N14)</f>
        <v>3</v>
      </c>
    </row>
    <row r="15" spans="3:17" ht="15.75" thickBot="1" x14ac:dyDescent="0.3">
      <c r="C15" s="4" t="s">
        <v>27</v>
      </c>
      <c r="D15" s="4">
        <f>+SUM(D16:D18)</f>
        <v>13</v>
      </c>
      <c r="E15" s="20" t="s">
        <v>15</v>
      </c>
      <c r="G15">
        <v>2025</v>
      </c>
      <c r="H15" s="9">
        <f t="shared" si="7"/>
        <v>2</v>
      </c>
      <c r="I15" s="9"/>
      <c r="J15" s="9"/>
      <c r="K15" s="9">
        <f t="shared" si="8"/>
        <v>0</v>
      </c>
      <c r="L15" s="9"/>
      <c r="M15" s="9"/>
      <c r="N15" s="9">
        <f t="shared" si="9"/>
        <v>1</v>
      </c>
      <c r="O15" s="10"/>
      <c r="P15" s="10"/>
      <c r="Q15">
        <f t="shared" si="10"/>
        <v>3</v>
      </c>
    </row>
    <row r="16" spans="3:17" ht="16.5" thickTop="1" thickBot="1" x14ac:dyDescent="0.3">
      <c r="C16" s="21" t="s">
        <v>29</v>
      </c>
      <c r="D16">
        <f>+COUNTIF($I$21:$I$33,"Ganado")</f>
        <v>10</v>
      </c>
      <c r="E16" s="22">
        <f>+D16/D$15</f>
        <v>0.76923076923076927</v>
      </c>
      <c r="G16" s="19" t="s">
        <v>13</v>
      </c>
      <c r="H16" s="19">
        <f>SUM(H3:H15)</f>
        <v>18</v>
      </c>
      <c r="I16" s="19"/>
      <c r="J16" s="19"/>
      <c r="K16" s="19">
        <f>SUM(K3:K15)</f>
        <v>5</v>
      </c>
      <c r="L16" s="19"/>
      <c r="M16" s="19"/>
      <c r="N16" s="19">
        <f>SUM(N3:N15)</f>
        <v>16</v>
      </c>
      <c r="O16" s="19"/>
      <c r="P16" s="19"/>
      <c r="Q16" s="19">
        <f>SUM(Q3:Q15)</f>
        <v>39</v>
      </c>
    </row>
    <row r="17" spans="3:17" x14ac:dyDescent="0.25">
      <c r="C17" s="21" t="s">
        <v>23</v>
      </c>
      <c r="D17">
        <f>+COUNTIF($I$21:$I$33,"Empatado")</f>
        <v>0</v>
      </c>
      <c r="E17" s="22">
        <f>+D17/D$15</f>
        <v>0</v>
      </c>
    </row>
    <row r="18" spans="3:17" ht="15.75" thickBot="1" x14ac:dyDescent="0.3">
      <c r="C18" s="21" t="s">
        <v>5</v>
      </c>
      <c r="D18">
        <f>+COUNTIF($I$21:$I$33,"Perdido")</f>
        <v>3</v>
      </c>
      <c r="E18" s="22">
        <f>+D18/D$15</f>
        <v>0.23076923076923078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ht="15.75" thickBot="1" x14ac:dyDescent="0.3">
      <c r="C20" s="4" t="s">
        <v>32</v>
      </c>
      <c r="D20" s="4">
        <f>+SUM(D21:D23)</f>
        <v>13</v>
      </c>
      <c r="E20" s="20" t="s">
        <v>15</v>
      </c>
      <c r="G20" s="29" t="s">
        <v>25</v>
      </c>
      <c r="H20" s="30">
        <f>H19*$E$5</f>
        <v>6.5</v>
      </c>
      <c r="I20" s="30"/>
      <c r="J20" s="31"/>
      <c r="K20" s="30">
        <f>K19*$E$5</f>
        <v>6.5</v>
      </c>
      <c r="L20" s="30"/>
      <c r="M20" s="31"/>
      <c r="N20" s="30">
        <f>N19*$E$5</f>
        <v>13</v>
      </c>
      <c r="O20" s="30"/>
      <c r="P20" s="31"/>
      <c r="Q20" s="29">
        <f>+SUM(H20:N20)</f>
        <v>26</v>
      </c>
    </row>
    <row r="21" spans="3:17" ht="15.75" thickTop="1" x14ac:dyDescent="0.25">
      <c r="C21" s="21" t="s">
        <v>16</v>
      </c>
      <c r="D21">
        <f>+COUNTIF($L$21:$L$33,"Ganado")</f>
        <v>1</v>
      </c>
      <c r="E21" s="22">
        <f>+D21/D$20</f>
        <v>7.6923076923076927E-2</v>
      </c>
      <c r="G21" s="8">
        <v>2013</v>
      </c>
      <c r="H21" s="32">
        <v>0.5</v>
      </c>
      <c r="I21" s="9" t="str">
        <f t="shared" ref="I21:I29" si="11">+IF(H21=0.5,"Ganado",IF(H21=0.25,"Empatado",IF(H21&lt;0.25,"Perdido")))</f>
        <v>Ganado</v>
      </c>
      <c r="J21" s="33" t="s">
        <v>55</v>
      </c>
      <c r="K21" s="32">
        <v>0.25</v>
      </c>
      <c r="L21" s="9" t="str">
        <f t="shared" ref="L21:L29" si="12">+IF(K21=0.5,"Ganado",IF(K21=0.25,"Empatado",IF(K21&lt;0.25,"Perdido")))</f>
        <v>Empatado</v>
      </c>
      <c r="M21" s="33" t="s">
        <v>55</v>
      </c>
      <c r="N21" s="32">
        <v>0</v>
      </c>
      <c r="O21" s="9" t="str">
        <f t="shared" ref="O21:O29" si="13">+IF(N21=1,"Ganado",IF(N21=0.5,"Empatado",IF(N21&lt;0.5,"Perdido")))</f>
        <v>Perdido</v>
      </c>
      <c r="P21" s="33" t="s">
        <v>39</v>
      </c>
      <c r="Q21" s="34">
        <f t="shared" ref="Q21:Q29" si="14">+H21+K21+N21</f>
        <v>0.75</v>
      </c>
    </row>
    <row r="22" spans="3:17" x14ac:dyDescent="0.25">
      <c r="C22" s="21" t="s">
        <v>23</v>
      </c>
      <c r="D22">
        <f>+COUNTIF($L$21:$L$33,"Empatado")</f>
        <v>3</v>
      </c>
      <c r="E22" s="22">
        <f>+D22/D$20</f>
        <v>0.23076923076923078</v>
      </c>
      <c r="G22">
        <f>+G21+1</f>
        <v>2014</v>
      </c>
      <c r="H22" s="32">
        <v>0</v>
      </c>
      <c r="I22" s="9" t="str">
        <f t="shared" si="11"/>
        <v>Perdido</v>
      </c>
      <c r="J22" s="33" t="s">
        <v>56</v>
      </c>
      <c r="K22" s="32">
        <v>0</v>
      </c>
      <c r="L22" s="9" t="str">
        <f t="shared" si="12"/>
        <v>Perdido</v>
      </c>
      <c r="M22" s="33" t="s">
        <v>56</v>
      </c>
      <c r="N22" s="32">
        <v>0</v>
      </c>
      <c r="O22" s="9" t="str">
        <f t="shared" si="13"/>
        <v>Perdido</v>
      </c>
      <c r="P22" s="33" t="s">
        <v>46</v>
      </c>
      <c r="Q22" s="34">
        <f t="shared" si="14"/>
        <v>0</v>
      </c>
    </row>
    <row r="23" spans="3:17" x14ac:dyDescent="0.25">
      <c r="C23" s="21" t="s">
        <v>5</v>
      </c>
      <c r="D23">
        <f>+COUNTIF($L$21:$L$33,"Perdido")</f>
        <v>9</v>
      </c>
      <c r="E23" s="22">
        <f>+D23/D$20</f>
        <v>0.69230769230769229</v>
      </c>
      <c r="G23">
        <f t="shared" ref="G23:G24" si="15">+G22+1</f>
        <v>2015</v>
      </c>
      <c r="H23" s="32">
        <v>0</v>
      </c>
      <c r="I23" s="9" t="str">
        <f t="shared" si="11"/>
        <v>Perdido</v>
      </c>
      <c r="J23" s="33" t="s">
        <v>57</v>
      </c>
      <c r="K23" s="32">
        <v>0</v>
      </c>
      <c r="L23" s="9" t="str">
        <f t="shared" si="12"/>
        <v>Perdido</v>
      </c>
      <c r="M23" s="33" t="s">
        <v>57</v>
      </c>
      <c r="N23" s="32">
        <v>1</v>
      </c>
      <c r="O23" s="9" t="str">
        <f t="shared" si="13"/>
        <v>Ganado</v>
      </c>
      <c r="P23" s="33" t="s">
        <v>58</v>
      </c>
      <c r="Q23" s="34">
        <f t="shared" si="14"/>
        <v>1</v>
      </c>
    </row>
    <row r="24" spans="3:17" x14ac:dyDescent="0.25">
      <c r="G24">
        <f t="shared" si="15"/>
        <v>2016</v>
      </c>
      <c r="H24" s="32">
        <v>0.5</v>
      </c>
      <c r="I24" s="9" t="str">
        <f t="shared" si="11"/>
        <v>Ganado</v>
      </c>
      <c r="J24" s="33" t="s">
        <v>59</v>
      </c>
      <c r="K24" s="32">
        <v>0.25</v>
      </c>
      <c r="L24" s="9" t="str">
        <f t="shared" si="12"/>
        <v>Empatado</v>
      </c>
      <c r="M24" s="33" t="s">
        <v>59</v>
      </c>
      <c r="N24" s="32">
        <v>1</v>
      </c>
      <c r="O24" s="9" t="str">
        <f t="shared" si="13"/>
        <v>Ganado</v>
      </c>
      <c r="P24" s="33" t="s">
        <v>8</v>
      </c>
      <c r="Q24" s="34">
        <f t="shared" si="14"/>
        <v>1.75</v>
      </c>
    </row>
    <row r="25" spans="3:17" ht="15.75" thickBot="1" x14ac:dyDescent="0.3">
      <c r="C25" s="4" t="s">
        <v>33</v>
      </c>
      <c r="D25" s="4">
        <f>+SUM(D26:D28)</f>
        <v>13</v>
      </c>
      <c r="E25" s="20" t="s">
        <v>15</v>
      </c>
      <c r="G25">
        <v>2017</v>
      </c>
      <c r="H25" s="32">
        <v>0.5</v>
      </c>
      <c r="I25" s="9" t="str">
        <f t="shared" si="11"/>
        <v>Ganado</v>
      </c>
      <c r="J25" s="33" t="s">
        <v>60</v>
      </c>
      <c r="K25" s="32">
        <v>0.5</v>
      </c>
      <c r="L25" s="9" t="str">
        <f t="shared" si="12"/>
        <v>Ganado</v>
      </c>
      <c r="M25" s="33" t="s">
        <v>60</v>
      </c>
      <c r="N25" s="32">
        <v>0</v>
      </c>
      <c r="O25" s="9" t="str">
        <f t="shared" si="13"/>
        <v>Perdido</v>
      </c>
      <c r="P25" s="33" t="s">
        <v>37</v>
      </c>
      <c r="Q25" s="34">
        <f t="shared" si="14"/>
        <v>1</v>
      </c>
    </row>
    <row r="26" spans="3:17" ht="15.75" thickTop="1" x14ac:dyDescent="0.25">
      <c r="C26" s="21" t="s">
        <v>16</v>
      </c>
      <c r="D26">
        <f>+COUNTIF($O$21:$O$33,"Ganado")</f>
        <v>7</v>
      </c>
      <c r="E26" s="22">
        <f>+D26/D$25</f>
        <v>0.53846153846153844</v>
      </c>
      <c r="G26">
        <v>2018</v>
      </c>
      <c r="H26" s="32">
        <v>0.5</v>
      </c>
      <c r="I26" s="9" t="str">
        <f t="shared" ref="I26" si="16">+IF(H26=0.5,"Ganado",IF(H26=0.25,"Empatado",IF(H26&lt;0.25,"Perdido")))</f>
        <v>Ganado</v>
      </c>
      <c r="J26" s="33" t="s">
        <v>61</v>
      </c>
      <c r="K26" s="32">
        <v>0</v>
      </c>
      <c r="L26" s="9" t="str">
        <f t="shared" ref="L26" si="17">+IF(K26=0.5,"Ganado",IF(K26=0.25,"Empatado",IF(K26&lt;0.25,"Perdido")))</f>
        <v>Perdido</v>
      </c>
      <c r="M26" s="33" t="s">
        <v>61</v>
      </c>
      <c r="N26" s="32">
        <v>0.5</v>
      </c>
      <c r="O26" s="9" t="str">
        <f t="shared" ref="O26" si="18">+IF(N26=1,"Ganado",IF(N26=0.5,"Empatado",IF(N26&lt;0.5,"Perdido")))</f>
        <v>Empatado</v>
      </c>
      <c r="P26" s="33" t="s">
        <v>46</v>
      </c>
      <c r="Q26" s="34">
        <f t="shared" ref="Q26" si="19">+H26+K26+N26</f>
        <v>1</v>
      </c>
    </row>
    <row r="27" spans="3:17" x14ac:dyDescent="0.25">
      <c r="C27" s="21" t="s">
        <v>23</v>
      </c>
      <c r="D27">
        <f>+COUNTIF($O$21:$O$33,"Empatado")</f>
        <v>2</v>
      </c>
      <c r="E27" s="22">
        <f>+D27/D$25</f>
        <v>0.15384615384615385</v>
      </c>
      <c r="G27">
        <v>2019</v>
      </c>
      <c r="H27" s="32">
        <v>0</v>
      </c>
      <c r="I27" s="9" t="str">
        <f t="shared" si="11"/>
        <v>Perdido</v>
      </c>
      <c r="J27" s="33" t="s">
        <v>161</v>
      </c>
      <c r="K27" s="32">
        <v>0</v>
      </c>
      <c r="L27" s="9" t="str">
        <f t="shared" si="12"/>
        <v>Perdido</v>
      </c>
      <c r="M27" s="33" t="s">
        <v>161</v>
      </c>
      <c r="N27" s="32">
        <v>1</v>
      </c>
      <c r="O27" s="9" t="str">
        <f t="shared" si="13"/>
        <v>Ganado</v>
      </c>
      <c r="P27" s="33" t="s">
        <v>46</v>
      </c>
      <c r="Q27" s="34">
        <f t="shared" si="14"/>
        <v>1</v>
      </c>
    </row>
    <row r="28" spans="3:17" x14ac:dyDescent="0.25">
      <c r="C28" s="21" t="s">
        <v>5</v>
      </c>
      <c r="D28">
        <f>+COUNTIF($O$21:$O$33,"Perdido")</f>
        <v>4</v>
      </c>
      <c r="E28" s="22">
        <f>+D28/D$25</f>
        <v>0.30769230769230771</v>
      </c>
      <c r="G28">
        <v>2020</v>
      </c>
      <c r="H28" s="32">
        <v>0.5</v>
      </c>
      <c r="I28" s="9" t="str">
        <f t="shared" si="11"/>
        <v>Ganado</v>
      </c>
      <c r="J28" s="33" t="s">
        <v>161</v>
      </c>
      <c r="K28" s="32">
        <v>0</v>
      </c>
      <c r="L28" s="9" t="str">
        <f t="shared" si="12"/>
        <v>Perdido</v>
      </c>
      <c r="M28" s="33" t="s">
        <v>161</v>
      </c>
      <c r="N28" s="32">
        <v>0</v>
      </c>
      <c r="O28" s="9" t="str">
        <f t="shared" si="13"/>
        <v>Perdido</v>
      </c>
      <c r="P28" s="33" t="s">
        <v>39</v>
      </c>
      <c r="Q28" s="34">
        <f t="shared" si="14"/>
        <v>0.5</v>
      </c>
    </row>
    <row r="29" spans="3:17" x14ac:dyDescent="0.25">
      <c r="G29">
        <v>2021</v>
      </c>
      <c r="H29" s="32">
        <v>0.5</v>
      </c>
      <c r="I29" s="9" t="str">
        <f t="shared" si="11"/>
        <v>Ganado</v>
      </c>
      <c r="J29" s="33" t="s">
        <v>162</v>
      </c>
      <c r="K29" s="32">
        <v>0</v>
      </c>
      <c r="L29" s="9" t="str">
        <f t="shared" si="12"/>
        <v>Perdido</v>
      </c>
      <c r="M29" s="33" t="s">
        <v>162</v>
      </c>
      <c r="N29" s="32">
        <v>1</v>
      </c>
      <c r="O29" s="9" t="str">
        <f t="shared" si="13"/>
        <v>Ganado</v>
      </c>
      <c r="P29" s="33" t="s">
        <v>43</v>
      </c>
      <c r="Q29" s="34">
        <f t="shared" si="14"/>
        <v>1.5</v>
      </c>
    </row>
    <row r="30" spans="3:17" x14ac:dyDescent="0.25"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196</v>
      </c>
      <c r="K30" s="32">
        <v>0</v>
      </c>
      <c r="L30" s="9" t="str">
        <f>+IF(K30=0.5,"Ganado",IF(K30=0.25,"Empatado",IF(K30&lt;0.25,"Perdido")))</f>
        <v>Perdido</v>
      </c>
      <c r="M30" s="33" t="s">
        <v>196</v>
      </c>
      <c r="N30" s="32">
        <v>1</v>
      </c>
      <c r="O30" s="9" t="str">
        <f>+IF(N30=1,"Ganado",IF(N30=0.5,"Empatado",IF(N30&lt;0.5,"Perdido")))</f>
        <v>Ganado</v>
      </c>
      <c r="P30" s="33" t="s">
        <v>58</v>
      </c>
      <c r="Q30" s="34">
        <f>+H30+K30+N30</f>
        <v>1.5</v>
      </c>
    </row>
    <row r="31" spans="3:17" x14ac:dyDescent="0.25">
      <c r="G31">
        <v>2023</v>
      </c>
      <c r="H31" s="32">
        <v>0.5</v>
      </c>
      <c r="I31" s="9" t="str">
        <f>+IF(H31=0.5,"Ganado",IF(H31=0.25,"Empatado",IF(H31&lt;0.25,"Perdido")))</f>
        <v>Ganado</v>
      </c>
      <c r="J31" s="33" t="s">
        <v>213</v>
      </c>
      <c r="K31" s="32">
        <v>0</v>
      </c>
      <c r="L31" s="9" t="str">
        <f>+IF(K31=0.5,"Ganado",IF(K31=0.25,"Empatado",IF(K31&lt;0.25,"Perdido")))</f>
        <v>Perdido</v>
      </c>
      <c r="M31" s="33" t="s">
        <v>213</v>
      </c>
      <c r="N31" s="32">
        <v>1</v>
      </c>
      <c r="O31" s="9" t="str">
        <f>+IF(N31=1,"Ganado",IF(N31=0.5,"Empatado",IF(N31&lt;0.5,"Perdido")))</f>
        <v>Ganado</v>
      </c>
      <c r="P31" s="33" t="s">
        <v>37</v>
      </c>
      <c r="Q31" s="34">
        <f>+H31+K31+N31</f>
        <v>1.5</v>
      </c>
    </row>
    <row r="32" spans="3:17" ht="15.75" thickBot="1" x14ac:dyDescent="0.3">
      <c r="G32">
        <v>2024</v>
      </c>
      <c r="H32" s="32">
        <v>0.5</v>
      </c>
      <c r="I32" s="9" t="str">
        <f>+IF(H32=0.5,"Ganado",IF(H32=0.25,"Empatado",IF(H32&lt;0.25,"Perdido")))</f>
        <v>Ganado</v>
      </c>
      <c r="J32" s="35" t="s">
        <v>225</v>
      </c>
      <c r="K32" s="32">
        <v>0.25</v>
      </c>
      <c r="L32" s="9" t="str">
        <f>+IF(K32=0.5,"Ganado",IF(K32=0.25,"Empatado",IF(K32&lt;0.25,"Perdido")))</f>
        <v>Empatado</v>
      </c>
      <c r="M32" s="35" t="s">
        <v>225</v>
      </c>
      <c r="N32" s="32">
        <v>0.5</v>
      </c>
      <c r="O32" s="9" t="str">
        <f>+IF(N32=1,"Ganado",IF(N32=0.5,"Empatado",IF(N32&lt;0.5,"Perdido")))</f>
        <v>Empatado</v>
      </c>
      <c r="P32" s="33" t="s">
        <v>39</v>
      </c>
      <c r="Q32" s="34">
        <f>+H32+K32+N32</f>
        <v>1.25</v>
      </c>
    </row>
    <row r="33" spans="7:17" ht="16.5" thickTop="1" thickBot="1" x14ac:dyDescent="0.3">
      <c r="G33">
        <v>2025</v>
      </c>
      <c r="H33" s="32">
        <v>0.5</v>
      </c>
      <c r="I33" s="9" t="str">
        <f>+IF(H33=0.5,"Ganado",IF(H33=0.25,"Empatado",IF(H33&lt;0.25,"Perdido")))</f>
        <v>Ganado</v>
      </c>
      <c r="J33" s="35" t="s">
        <v>236</v>
      </c>
      <c r="K33" s="32">
        <v>0</v>
      </c>
      <c r="L33" s="9" t="str">
        <f>+IF(K33=0.5,"Ganado",IF(K33=0.25,"Empatado",IF(K33&lt;0.25,"Perdido")))</f>
        <v>Perdido</v>
      </c>
      <c r="M33" s="35" t="s">
        <v>236</v>
      </c>
      <c r="N33" s="32">
        <v>1</v>
      </c>
      <c r="O33" s="9" t="str">
        <f>+IF(N33=1,"Ganado",IF(N33=0.5,"Empatado",IF(N33&lt;0.5,"Perdido")))</f>
        <v>Ganado</v>
      </c>
      <c r="P33" s="33" t="s">
        <v>8</v>
      </c>
      <c r="Q33" s="34">
        <f>+H33+K33+N33</f>
        <v>1.5</v>
      </c>
    </row>
    <row r="34" spans="7:17" ht="16.5" thickTop="1" thickBot="1" x14ac:dyDescent="0.3">
      <c r="G34" s="19" t="s">
        <v>6</v>
      </c>
      <c r="H34" s="38">
        <f>SUM(H21:H33)</f>
        <v>5</v>
      </c>
      <c r="I34" s="19"/>
      <c r="J34" s="39"/>
      <c r="K34" s="38">
        <f>SUM(K21:K33)</f>
        <v>1.25</v>
      </c>
      <c r="L34" s="19"/>
      <c r="M34" s="39"/>
      <c r="N34" s="38">
        <f>SUM(N21:N33)</f>
        <v>8</v>
      </c>
      <c r="O34" s="19"/>
      <c r="P34" s="67"/>
      <c r="Q34" s="38">
        <f>SUM(Q21:Q33)</f>
        <v>14.25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Q34"/>
  <sheetViews>
    <sheetView zoomScale="70" zoomScaleNormal="70" workbookViewId="0">
      <selection activeCell="Q35" sqref="Q35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1" spans="3:17" ht="15.75" thickBot="1" x14ac:dyDescent="0.3"/>
    <row r="2" spans="3:17" ht="16.5" thickTop="1" thickBot="1" x14ac:dyDescent="0.3">
      <c r="C2" s="1" t="s">
        <v>0</v>
      </c>
      <c r="D2" s="2"/>
      <c r="E2" s="3" t="s">
        <v>34</v>
      </c>
      <c r="G2" s="4" t="s">
        <v>2</v>
      </c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4" t="s">
        <v>6</v>
      </c>
    </row>
    <row r="3" spans="3:17" ht="16.5" thickTop="1" thickBot="1" x14ac:dyDescent="0.3">
      <c r="C3" s="5" t="s">
        <v>7</v>
      </c>
      <c r="D3" s="6"/>
      <c r="E3" s="7" t="s">
        <v>35</v>
      </c>
      <c r="G3" s="8">
        <v>2013</v>
      </c>
      <c r="H3" s="9">
        <f>+COUNTIF($H21:$Q21,"Ganado")</f>
        <v>3</v>
      </c>
      <c r="I3" s="9"/>
      <c r="J3" s="9"/>
      <c r="K3" s="9">
        <f>+COUNTIF($H21:$Q21,"Empatado")</f>
        <v>0</v>
      </c>
      <c r="L3" s="9"/>
      <c r="M3" s="9"/>
      <c r="N3" s="9">
        <f>+COUNTIF($H21:$Q21,"Perdido")</f>
        <v>0</v>
      </c>
      <c r="O3" s="10"/>
      <c r="P3" s="10"/>
      <c r="Q3">
        <f t="shared" ref="Q3:Q11" si="0">+SUM(H3:N3)</f>
        <v>3</v>
      </c>
    </row>
    <row r="4" spans="3:17" ht="15.75" thickTop="1" x14ac:dyDescent="0.25">
      <c r="C4" s="11"/>
      <c r="E4" s="12"/>
      <c r="G4">
        <v>2014</v>
      </c>
      <c r="H4" s="9">
        <f>+COUNTIF($H22:$Q22,"Ganado")</f>
        <v>0</v>
      </c>
      <c r="I4" s="9"/>
      <c r="J4" s="9"/>
      <c r="K4" s="9">
        <f>+COUNTIF($H22:$Q22,"Empatado")</f>
        <v>2</v>
      </c>
      <c r="L4" s="9"/>
      <c r="M4" s="9"/>
      <c r="N4" s="9">
        <f>+COUNTIF($H22:$Q22,"Perdido")</f>
        <v>1</v>
      </c>
      <c r="O4" s="10"/>
      <c r="P4" s="10"/>
      <c r="Q4">
        <f t="shared" si="0"/>
        <v>3</v>
      </c>
    </row>
    <row r="5" spans="3:17" x14ac:dyDescent="0.25">
      <c r="C5" s="11" t="s">
        <v>9</v>
      </c>
      <c r="E5" s="13">
        <f>+COUNT(G3:G15)</f>
        <v>13</v>
      </c>
      <c r="F5" s="14"/>
      <c r="G5">
        <v>2015</v>
      </c>
      <c r="H5" s="9">
        <f>+COUNTIF($H23:$Q23,"Ganado")</f>
        <v>1</v>
      </c>
      <c r="I5" s="9"/>
      <c r="J5" s="9"/>
      <c r="K5" s="9">
        <f>+COUNTIF($H23:$Q23,"Empatado")</f>
        <v>1</v>
      </c>
      <c r="L5" s="9"/>
      <c r="M5" s="9"/>
      <c r="N5" s="9">
        <f>+COUNTIF($H23:$Q23,"Perdido")</f>
        <v>1</v>
      </c>
      <c r="O5" s="10"/>
      <c r="P5" s="10"/>
      <c r="Q5">
        <f t="shared" si="0"/>
        <v>3</v>
      </c>
    </row>
    <row r="6" spans="3:17" x14ac:dyDescent="0.25">
      <c r="C6" s="11" t="s">
        <v>10</v>
      </c>
      <c r="E6" s="15">
        <f>+E5*2</f>
        <v>26</v>
      </c>
      <c r="G6">
        <v>2016</v>
      </c>
      <c r="H6" s="9">
        <f>+COUNTIF($H24:$Q24,"Ganado")</f>
        <v>2</v>
      </c>
      <c r="I6" s="9"/>
      <c r="J6" s="9"/>
      <c r="K6" s="9">
        <f>+COUNTIF($H24:$Q24,"Empatado")</f>
        <v>1</v>
      </c>
      <c r="L6" s="9"/>
      <c r="M6" s="9"/>
      <c r="N6" s="9">
        <f>+COUNTIF($H24:$Q24,"Perdido")</f>
        <v>0</v>
      </c>
      <c r="O6" s="10"/>
      <c r="P6" s="10"/>
      <c r="Q6">
        <f t="shared" si="0"/>
        <v>3</v>
      </c>
    </row>
    <row r="7" spans="3:17" x14ac:dyDescent="0.25">
      <c r="C7" s="11" t="s">
        <v>11</v>
      </c>
      <c r="E7" s="15">
        <f>+Q34</f>
        <v>14.75</v>
      </c>
      <c r="G7">
        <v>2017</v>
      </c>
      <c r="H7" s="9">
        <f>+COUNTIF($H25:$Q25,"Ganado")</f>
        <v>1</v>
      </c>
      <c r="I7" s="9"/>
      <c r="J7" s="9"/>
      <c r="K7" s="9">
        <f>+COUNTIF($H25:$Q25,"Empatado")</f>
        <v>1</v>
      </c>
      <c r="L7" s="9"/>
      <c r="M7" s="9"/>
      <c r="N7" s="9">
        <f>+COUNTIF($H25:$Q25,"Perdido")</f>
        <v>1</v>
      </c>
      <c r="O7" s="10"/>
      <c r="P7" s="10"/>
      <c r="Q7">
        <f t="shared" si="0"/>
        <v>3</v>
      </c>
    </row>
    <row r="8" spans="3:17" ht="15.75" thickBot="1" x14ac:dyDescent="0.3">
      <c r="C8" s="16" t="s">
        <v>12</v>
      </c>
      <c r="D8" s="17"/>
      <c r="E8" s="18">
        <f>+E7/E6</f>
        <v>0.56730769230769229</v>
      </c>
      <c r="G8">
        <v>2018</v>
      </c>
      <c r="H8" s="9">
        <f t="shared" ref="H8:H11" si="1">+COUNTIF($H26:$Q26,"Ganado")</f>
        <v>3</v>
      </c>
      <c r="I8" s="9"/>
      <c r="J8" s="9"/>
      <c r="K8" s="9">
        <f t="shared" ref="K8:K11" si="2">+COUNTIF($H26:$Q26,"Empatado")</f>
        <v>0</v>
      </c>
      <c r="L8" s="9"/>
      <c r="M8" s="9"/>
      <c r="N8" s="9">
        <f t="shared" ref="N8:N11" si="3">+COUNTIF($H26:$Q26,"Perdido")</f>
        <v>0</v>
      </c>
      <c r="O8" s="10"/>
      <c r="P8" s="10"/>
      <c r="Q8">
        <f t="shared" ref="Q8" si="4">+SUM(H8:N8)</f>
        <v>3</v>
      </c>
    </row>
    <row r="9" spans="3:17" ht="15.75" thickTop="1" x14ac:dyDescent="0.25">
      <c r="G9">
        <v>2019</v>
      </c>
      <c r="H9" s="9">
        <f t="shared" si="1"/>
        <v>1</v>
      </c>
      <c r="I9" s="9"/>
      <c r="J9" s="9"/>
      <c r="K9" s="9">
        <f t="shared" si="2"/>
        <v>0</v>
      </c>
      <c r="L9" s="9"/>
      <c r="M9" s="9"/>
      <c r="N9" s="9">
        <f t="shared" si="3"/>
        <v>2</v>
      </c>
      <c r="O9" s="10"/>
      <c r="P9" s="10"/>
      <c r="Q9">
        <f t="shared" si="0"/>
        <v>3</v>
      </c>
    </row>
    <row r="10" spans="3:17" ht="15.75" thickBot="1" x14ac:dyDescent="0.3">
      <c r="C10" s="4" t="s">
        <v>14</v>
      </c>
      <c r="D10" s="4">
        <f>+SUM(D11:D13)</f>
        <v>39</v>
      </c>
      <c r="E10" s="20" t="s">
        <v>15</v>
      </c>
      <c r="G10">
        <v>2020</v>
      </c>
      <c r="H10" s="9">
        <f t="shared" si="1"/>
        <v>1</v>
      </c>
      <c r="I10" s="9"/>
      <c r="J10" s="9"/>
      <c r="K10" s="9">
        <f t="shared" si="2"/>
        <v>2</v>
      </c>
      <c r="L10" s="9"/>
      <c r="M10" s="9"/>
      <c r="N10" s="9">
        <f t="shared" si="3"/>
        <v>0</v>
      </c>
      <c r="O10" s="10"/>
      <c r="P10" s="10"/>
      <c r="Q10">
        <f t="shared" si="0"/>
        <v>3</v>
      </c>
    </row>
    <row r="11" spans="3:17" ht="15.75" thickTop="1" x14ac:dyDescent="0.25">
      <c r="C11" s="21" t="s">
        <v>16</v>
      </c>
      <c r="D11">
        <f>+D16+D21+D26</f>
        <v>18</v>
      </c>
      <c r="E11" s="22">
        <f>+D11/D$10</f>
        <v>0.46153846153846156</v>
      </c>
      <c r="G11">
        <v>2021</v>
      </c>
      <c r="H11" s="9">
        <f t="shared" si="1"/>
        <v>1</v>
      </c>
      <c r="I11" s="9"/>
      <c r="J11" s="9"/>
      <c r="K11" s="9">
        <f t="shared" si="2"/>
        <v>0</v>
      </c>
      <c r="L11" s="9"/>
      <c r="M11" s="9"/>
      <c r="N11" s="9">
        <f t="shared" si="3"/>
        <v>2</v>
      </c>
      <c r="O11" s="10"/>
      <c r="P11" s="10"/>
      <c r="Q11">
        <f t="shared" si="0"/>
        <v>3</v>
      </c>
    </row>
    <row r="12" spans="3:17" x14ac:dyDescent="0.25">
      <c r="C12" s="21" t="s">
        <v>23</v>
      </c>
      <c r="D12">
        <f>+D17+D22+D27</f>
        <v>9</v>
      </c>
      <c r="E12" s="22">
        <f>+D12/D$10</f>
        <v>0.23076923076923078</v>
      </c>
      <c r="G12">
        <v>2022</v>
      </c>
      <c r="H12" s="9">
        <f>+COUNTIF($H30:$Q30,"Ganado")</f>
        <v>1</v>
      </c>
      <c r="I12" s="9"/>
      <c r="J12" s="9"/>
      <c r="K12" s="9">
        <f>+COUNTIF($H30:$Q30,"Empatado")</f>
        <v>0</v>
      </c>
      <c r="L12" s="9"/>
      <c r="M12" s="9"/>
      <c r="N12" s="9">
        <f>+COUNTIF($H30:$Q30,"Perdido")</f>
        <v>2</v>
      </c>
      <c r="O12" s="10"/>
      <c r="P12" s="10"/>
      <c r="Q12">
        <f t="shared" ref="Q12" si="5">+SUM(H12:N12)</f>
        <v>3</v>
      </c>
    </row>
    <row r="13" spans="3:17" x14ac:dyDescent="0.25">
      <c r="C13" s="21" t="s">
        <v>5</v>
      </c>
      <c r="D13">
        <f>+D18+D23+D28</f>
        <v>12</v>
      </c>
      <c r="E13" s="22">
        <f>+D13/D$10</f>
        <v>0.30769230769230771</v>
      </c>
      <c r="G13">
        <v>2023</v>
      </c>
      <c r="H13" s="9">
        <f>+COUNTIF($H31:$Q31,"Ganado")</f>
        <v>1</v>
      </c>
      <c r="I13" s="9"/>
      <c r="J13" s="9"/>
      <c r="K13" s="9">
        <f>+COUNTIF($H31:$Q31,"Empatado")</f>
        <v>0</v>
      </c>
      <c r="L13" s="9"/>
      <c r="M13" s="9"/>
      <c r="N13" s="9">
        <f>+COUNTIF($H31:$Q31,"Perdido")</f>
        <v>2</v>
      </c>
      <c r="O13" s="10"/>
      <c r="P13" s="10"/>
      <c r="Q13">
        <f t="shared" ref="Q13" si="6">+SUM(H13:N13)</f>
        <v>3</v>
      </c>
    </row>
    <row r="14" spans="3:17" x14ac:dyDescent="0.25">
      <c r="G14">
        <v>2024</v>
      </c>
      <c r="H14" s="9">
        <f t="shared" ref="H14:H15" si="7">+COUNTIF($H32:$Q32,"Ganado")</f>
        <v>2</v>
      </c>
      <c r="I14" s="9"/>
      <c r="J14" s="9"/>
      <c r="K14" s="9">
        <f t="shared" ref="K14:K15" si="8">+COUNTIF($H32:$Q32,"Empatado")</f>
        <v>1</v>
      </c>
      <c r="L14" s="9"/>
      <c r="M14" s="9"/>
      <c r="N14" s="9">
        <f t="shared" ref="N14:N15" si="9">+COUNTIF($H32:$Q32,"Perdido")</f>
        <v>0</v>
      </c>
      <c r="O14" s="10"/>
      <c r="P14" s="10"/>
      <c r="Q14">
        <f t="shared" ref="Q14:Q15" si="10">+SUM(H14:N14)</f>
        <v>3</v>
      </c>
    </row>
    <row r="15" spans="3:17" ht="15.75" thickBot="1" x14ac:dyDescent="0.3">
      <c r="C15" s="4" t="s">
        <v>27</v>
      </c>
      <c r="D15" s="4">
        <f>+SUM(D16:D18)</f>
        <v>13</v>
      </c>
      <c r="E15" s="20" t="s">
        <v>15</v>
      </c>
      <c r="G15">
        <v>2024</v>
      </c>
      <c r="H15" s="9">
        <f t="shared" si="7"/>
        <v>1</v>
      </c>
      <c r="I15" s="9"/>
      <c r="J15" s="9"/>
      <c r="K15" s="9">
        <f t="shared" si="8"/>
        <v>1</v>
      </c>
      <c r="L15" s="9"/>
      <c r="M15" s="9"/>
      <c r="N15" s="9">
        <f t="shared" si="9"/>
        <v>1</v>
      </c>
      <c r="O15" s="10"/>
      <c r="P15" s="10"/>
      <c r="Q15">
        <f t="shared" si="10"/>
        <v>3</v>
      </c>
    </row>
    <row r="16" spans="3:17" ht="16.5" thickTop="1" thickBot="1" x14ac:dyDescent="0.3">
      <c r="C16" s="21" t="s">
        <v>29</v>
      </c>
      <c r="D16">
        <f>+COUNTIF($I$21:$I$33,"Ganado")</f>
        <v>8</v>
      </c>
      <c r="E16" s="22">
        <f>+D16/D$15</f>
        <v>0.61538461538461542</v>
      </c>
      <c r="G16" s="19" t="s">
        <v>13</v>
      </c>
      <c r="H16" s="19">
        <f>SUM(H3:H15)</f>
        <v>18</v>
      </c>
      <c r="I16" s="19"/>
      <c r="J16" s="19"/>
      <c r="K16" s="19">
        <f>SUM(K3:K15)</f>
        <v>9</v>
      </c>
      <c r="L16" s="19"/>
      <c r="M16" s="19"/>
      <c r="N16" s="19">
        <f>SUM(N3:N15)</f>
        <v>12</v>
      </c>
      <c r="O16" s="19"/>
      <c r="P16" s="19"/>
      <c r="Q16" s="19">
        <f>SUM(Q3:Q15)</f>
        <v>39</v>
      </c>
    </row>
    <row r="17" spans="3:17" x14ac:dyDescent="0.25">
      <c r="C17" s="21" t="s">
        <v>23</v>
      </c>
      <c r="D17">
        <f>+COUNTIF($I$21:$I$33,"Empatado")</f>
        <v>2</v>
      </c>
      <c r="E17" s="22">
        <f>+D17/D$15</f>
        <v>0.15384615384615385</v>
      </c>
    </row>
    <row r="18" spans="3:17" ht="15.75" thickBot="1" x14ac:dyDescent="0.3">
      <c r="C18" s="21" t="s">
        <v>5</v>
      </c>
      <c r="D18">
        <f>+COUNTIF($I$21:$I$33,"Perdido")</f>
        <v>3</v>
      </c>
      <c r="E18" s="22">
        <f>+D18/D$15</f>
        <v>0.23076923076923078</v>
      </c>
      <c r="G18" s="4" t="s">
        <v>17</v>
      </c>
      <c r="H18" s="4" t="s">
        <v>18</v>
      </c>
      <c r="I18" s="4" t="s">
        <v>19</v>
      </c>
      <c r="J18" s="4" t="s">
        <v>20</v>
      </c>
      <c r="K18" s="4" t="s">
        <v>21</v>
      </c>
      <c r="L18" s="4" t="s">
        <v>19</v>
      </c>
      <c r="M18" s="4" t="s">
        <v>20</v>
      </c>
      <c r="N18" s="4" t="s">
        <v>22</v>
      </c>
      <c r="O18" s="4" t="s">
        <v>19</v>
      </c>
      <c r="P18" s="4" t="s">
        <v>20</v>
      </c>
      <c r="Q18" s="4" t="s">
        <v>6</v>
      </c>
    </row>
    <row r="19" spans="3:17" ht="15.75" thickTop="1" x14ac:dyDescent="0.25">
      <c r="G19" s="23" t="s">
        <v>24</v>
      </c>
      <c r="H19" s="24">
        <v>0.5</v>
      </c>
      <c r="I19" s="24"/>
      <c r="J19" s="25"/>
      <c r="K19" s="24">
        <v>0.5</v>
      </c>
      <c r="L19" s="24"/>
      <c r="M19" s="25"/>
      <c r="N19" s="24">
        <v>1</v>
      </c>
      <c r="O19" s="26"/>
      <c r="P19" s="27"/>
      <c r="Q19" s="28"/>
    </row>
    <row r="20" spans="3:17" ht="15.75" thickBot="1" x14ac:dyDescent="0.3">
      <c r="C20" s="4" t="s">
        <v>32</v>
      </c>
      <c r="D20" s="4">
        <f>+SUM(D21:D23)</f>
        <v>13</v>
      </c>
      <c r="E20" s="20" t="s">
        <v>15</v>
      </c>
      <c r="G20" s="29" t="s">
        <v>25</v>
      </c>
      <c r="H20" s="30">
        <f>H19*$E$5</f>
        <v>6.5</v>
      </c>
      <c r="I20" s="30"/>
      <c r="J20" s="31"/>
      <c r="K20" s="30">
        <f>K19*$E$5</f>
        <v>6.5</v>
      </c>
      <c r="L20" s="30"/>
      <c r="M20" s="31"/>
      <c r="N20" s="30">
        <f>N19*$E$5</f>
        <v>13</v>
      </c>
      <c r="O20" s="30"/>
      <c r="P20" s="31"/>
      <c r="Q20" s="29">
        <f>+SUM(H20:N20)</f>
        <v>26</v>
      </c>
    </row>
    <row r="21" spans="3:17" ht="15.75" thickTop="1" x14ac:dyDescent="0.25">
      <c r="C21" s="21" t="s">
        <v>16</v>
      </c>
      <c r="D21">
        <f>+COUNTIF($L$21:$L$33,"Ganado")</f>
        <v>4</v>
      </c>
      <c r="E21" s="22">
        <f>+D21/D$20</f>
        <v>0.30769230769230771</v>
      </c>
      <c r="G21" s="8">
        <v>2013</v>
      </c>
      <c r="H21" s="32">
        <v>0.5</v>
      </c>
      <c r="I21" s="9" t="str">
        <f t="shared" ref="I21:I29" si="11">+IF(H21=0.5,"Ganado",IF(H21=0.25,"Empatado",IF(H21&lt;0.25,"Perdido")))</f>
        <v>Ganado</v>
      </c>
      <c r="J21" s="33" t="s">
        <v>36</v>
      </c>
      <c r="K21" s="32">
        <v>0.5</v>
      </c>
      <c r="L21" s="9" t="str">
        <f t="shared" ref="L21:L26" si="12">+IF(K21=0.5,"Ganado",IF(K21=0.25,"Empatado",IF(K21&lt;0.25,"Perdido")))</f>
        <v>Ganado</v>
      </c>
      <c r="M21" s="33" t="s">
        <v>36</v>
      </c>
      <c r="N21" s="32">
        <v>1</v>
      </c>
      <c r="O21" s="9" t="str">
        <f t="shared" ref="O21:O29" si="13">+IF(N21=1,"Ganado",IF(N21=0.5,"Empatado",IF(N21&lt;0.5,"Perdido")))</f>
        <v>Ganado</v>
      </c>
      <c r="P21" s="33" t="s">
        <v>37</v>
      </c>
      <c r="Q21" s="34">
        <f t="shared" ref="Q21:Q29" si="14">+H21+K21+N21</f>
        <v>2</v>
      </c>
    </row>
    <row r="22" spans="3:17" x14ac:dyDescent="0.25">
      <c r="C22" s="21" t="s">
        <v>23</v>
      </c>
      <c r="D22">
        <f>+COUNTIF($L$21:$L$33,"Empatado")</f>
        <v>5</v>
      </c>
      <c r="E22" s="22">
        <f>+D22/D$20</f>
        <v>0.38461538461538464</v>
      </c>
      <c r="G22">
        <f>+G21+1</f>
        <v>2014</v>
      </c>
      <c r="H22" s="32">
        <v>0.25</v>
      </c>
      <c r="I22" s="9" t="str">
        <f t="shared" si="11"/>
        <v>Empatado</v>
      </c>
      <c r="J22" s="33" t="s">
        <v>38</v>
      </c>
      <c r="K22" s="32">
        <v>0.25</v>
      </c>
      <c r="L22" s="9" t="str">
        <f t="shared" si="12"/>
        <v>Empatado</v>
      </c>
      <c r="M22" s="33" t="s">
        <v>38</v>
      </c>
      <c r="N22" s="32">
        <v>0</v>
      </c>
      <c r="O22" s="9" t="str">
        <f t="shared" si="13"/>
        <v>Perdido</v>
      </c>
      <c r="P22" s="33" t="s">
        <v>39</v>
      </c>
      <c r="Q22" s="34">
        <f t="shared" si="14"/>
        <v>0.5</v>
      </c>
    </row>
    <row r="23" spans="3:17" x14ac:dyDescent="0.25">
      <c r="C23" s="21" t="s">
        <v>5</v>
      </c>
      <c r="D23">
        <f>+COUNTIF($L$21:$L$33,"Perdido")</f>
        <v>4</v>
      </c>
      <c r="E23" s="22">
        <f>+D23/D$20</f>
        <v>0.30769230769230771</v>
      </c>
      <c r="G23">
        <f t="shared" ref="G23:G24" si="15">+G22+1</f>
        <v>2015</v>
      </c>
      <c r="H23" s="32">
        <v>0.25</v>
      </c>
      <c r="I23" s="9" t="str">
        <f t="shared" si="11"/>
        <v>Empatado</v>
      </c>
      <c r="J23" s="33" t="s">
        <v>38</v>
      </c>
      <c r="K23" s="32">
        <v>0.5</v>
      </c>
      <c r="L23" s="9" t="str">
        <f t="shared" si="12"/>
        <v>Ganado</v>
      </c>
      <c r="M23" s="33" t="s">
        <v>38</v>
      </c>
      <c r="N23" s="32">
        <v>0</v>
      </c>
      <c r="O23" s="9" t="str">
        <f t="shared" si="13"/>
        <v>Perdido</v>
      </c>
      <c r="P23" s="33" t="s">
        <v>39</v>
      </c>
      <c r="Q23" s="34">
        <f t="shared" si="14"/>
        <v>0.75</v>
      </c>
    </row>
    <row r="24" spans="3:17" x14ac:dyDescent="0.25">
      <c r="G24">
        <f t="shared" si="15"/>
        <v>2016</v>
      </c>
      <c r="H24" s="32">
        <v>0.5</v>
      </c>
      <c r="I24" s="9" t="str">
        <f t="shared" si="11"/>
        <v>Ganado</v>
      </c>
      <c r="J24" s="33" t="s">
        <v>40</v>
      </c>
      <c r="K24" s="32">
        <v>0.25</v>
      </c>
      <c r="L24" s="9" t="str">
        <f t="shared" si="12"/>
        <v>Empatado</v>
      </c>
      <c r="M24" s="33" t="s">
        <v>40</v>
      </c>
      <c r="N24" s="32">
        <v>1</v>
      </c>
      <c r="O24" s="9" t="str">
        <f t="shared" si="13"/>
        <v>Ganado</v>
      </c>
      <c r="P24" s="33" t="s">
        <v>41</v>
      </c>
      <c r="Q24" s="34">
        <f t="shared" si="14"/>
        <v>1.75</v>
      </c>
    </row>
    <row r="25" spans="3:17" ht="15.75" thickBot="1" x14ac:dyDescent="0.3">
      <c r="C25" s="4" t="s">
        <v>33</v>
      </c>
      <c r="D25" s="4">
        <f>+SUM(D26:D28)</f>
        <v>13</v>
      </c>
      <c r="E25" s="20" t="s">
        <v>15</v>
      </c>
      <c r="G25">
        <v>2017</v>
      </c>
      <c r="H25" s="32">
        <v>0</v>
      </c>
      <c r="I25" s="9" t="str">
        <f t="shared" si="11"/>
        <v>Perdido</v>
      </c>
      <c r="J25" s="33" t="s">
        <v>42</v>
      </c>
      <c r="K25" s="32">
        <v>0.25</v>
      </c>
      <c r="L25" s="9" t="str">
        <f t="shared" si="12"/>
        <v>Empatado</v>
      </c>
      <c r="M25" s="33" t="s">
        <v>42</v>
      </c>
      <c r="N25" s="32">
        <v>1</v>
      </c>
      <c r="O25" s="9" t="str">
        <f t="shared" si="13"/>
        <v>Ganado</v>
      </c>
      <c r="P25" s="33" t="s">
        <v>43</v>
      </c>
      <c r="Q25" s="34">
        <f t="shared" si="14"/>
        <v>1.25</v>
      </c>
    </row>
    <row r="26" spans="3:17" ht="15.75" thickTop="1" x14ac:dyDescent="0.25">
      <c r="C26" s="21" t="s">
        <v>16</v>
      </c>
      <c r="D26">
        <f>+COUNTIF($O$21:$O$33,"Ganado")</f>
        <v>6</v>
      </c>
      <c r="E26" s="22">
        <f>+D26/D$25</f>
        <v>0.46153846153846156</v>
      </c>
      <c r="G26">
        <v>2018</v>
      </c>
      <c r="H26" s="32">
        <v>0.5</v>
      </c>
      <c r="I26" s="9" t="str">
        <f t="shared" ref="I26" si="16">+IF(H26=0.5,"Ganado",IF(H26=0.25,"Empatado",IF(H26&lt;0.25,"Perdido")))</f>
        <v>Ganado</v>
      </c>
      <c r="J26" s="33" t="s">
        <v>44</v>
      </c>
      <c r="K26" s="32">
        <v>0.5</v>
      </c>
      <c r="L26" s="9" t="str">
        <f t="shared" si="12"/>
        <v>Ganado</v>
      </c>
      <c r="M26" s="33" t="s">
        <v>44</v>
      </c>
      <c r="N26" s="32">
        <v>1</v>
      </c>
      <c r="O26" s="9" t="str">
        <f t="shared" ref="O26" si="17">+IF(N26=1,"Ganado",IF(N26=0.5,"Empatado",IF(N26&lt;0.5,"Perdido")))</f>
        <v>Ganado</v>
      </c>
      <c r="P26" s="33" t="s">
        <v>39</v>
      </c>
      <c r="Q26" s="34">
        <f t="shared" ref="Q26" si="18">+H26+K26+N26</f>
        <v>2</v>
      </c>
    </row>
    <row r="27" spans="3:17" x14ac:dyDescent="0.25">
      <c r="C27" s="21" t="s">
        <v>23</v>
      </c>
      <c r="D27">
        <f>+COUNTIF($O$21:$O$33,"Empatado")</f>
        <v>2</v>
      </c>
      <c r="E27" s="22">
        <f>+D27/D$25</f>
        <v>0.15384615384615385</v>
      </c>
      <c r="G27">
        <v>2019</v>
      </c>
      <c r="H27" s="32">
        <v>0</v>
      </c>
      <c r="I27" s="9" t="str">
        <f t="shared" si="11"/>
        <v>Perdido</v>
      </c>
      <c r="J27" s="33" t="s">
        <v>130</v>
      </c>
      <c r="K27" s="32">
        <v>0.5</v>
      </c>
      <c r="L27" s="9" t="str">
        <f t="shared" ref="L27:L29" si="19">+IF(K27=0.5,"Ganado",IF(K27=0.25,"Empatado",IF(K27&lt;0.25,"Perdido")))</f>
        <v>Ganado</v>
      </c>
      <c r="M27" s="33" t="s">
        <v>130</v>
      </c>
      <c r="N27" s="32">
        <v>0</v>
      </c>
      <c r="O27" s="9" t="str">
        <f t="shared" si="13"/>
        <v>Perdido</v>
      </c>
      <c r="P27" s="33" t="s">
        <v>43</v>
      </c>
      <c r="Q27" s="34">
        <f t="shared" si="14"/>
        <v>0.5</v>
      </c>
    </row>
    <row r="28" spans="3:17" x14ac:dyDescent="0.25">
      <c r="C28" s="21" t="s">
        <v>5</v>
      </c>
      <c r="D28">
        <f>+COUNTIF($O$21:$O$33,"Perdido")</f>
        <v>5</v>
      </c>
      <c r="E28" s="22">
        <f>+D28/D$25</f>
        <v>0.38461538461538464</v>
      </c>
      <c r="G28">
        <v>2020</v>
      </c>
      <c r="H28" s="32">
        <v>0.5</v>
      </c>
      <c r="I28" s="9" t="str">
        <f t="shared" si="11"/>
        <v>Ganado</v>
      </c>
      <c r="J28" s="33" t="s">
        <v>148</v>
      </c>
      <c r="K28" s="32">
        <v>0.25</v>
      </c>
      <c r="L28" s="9" t="str">
        <f t="shared" si="19"/>
        <v>Empatado</v>
      </c>
      <c r="M28" s="33" t="s">
        <v>148</v>
      </c>
      <c r="N28" s="32">
        <v>0.5</v>
      </c>
      <c r="O28" s="9" t="str">
        <f t="shared" si="13"/>
        <v>Empatado</v>
      </c>
      <c r="P28" s="33" t="s">
        <v>46</v>
      </c>
      <c r="Q28" s="34">
        <f t="shared" si="14"/>
        <v>1.25</v>
      </c>
    </row>
    <row r="29" spans="3:17" x14ac:dyDescent="0.25">
      <c r="G29">
        <v>2021</v>
      </c>
      <c r="H29" s="32">
        <v>0</v>
      </c>
      <c r="I29" s="9" t="str">
        <f t="shared" si="11"/>
        <v>Perdido</v>
      </c>
      <c r="J29" s="33" t="s">
        <v>149</v>
      </c>
      <c r="K29" s="32">
        <v>0</v>
      </c>
      <c r="L29" s="9" t="str">
        <f t="shared" si="19"/>
        <v>Perdido</v>
      </c>
      <c r="M29" s="33" t="s">
        <v>149</v>
      </c>
      <c r="N29" s="32">
        <v>1</v>
      </c>
      <c r="O29" s="9" t="str">
        <f t="shared" si="13"/>
        <v>Ganado</v>
      </c>
      <c r="P29" s="33" t="s">
        <v>45</v>
      </c>
      <c r="Q29" s="34">
        <f t="shared" si="14"/>
        <v>1</v>
      </c>
    </row>
    <row r="30" spans="3:17" x14ac:dyDescent="0.25">
      <c r="G30">
        <v>2022</v>
      </c>
      <c r="H30" s="32">
        <v>0.5</v>
      </c>
      <c r="I30" s="9" t="str">
        <f>+IF(H30=0.5,"Ganado",IF(H30=0.25,"Empatado",IF(H30&lt;0.25,"Perdido")))</f>
        <v>Ganado</v>
      </c>
      <c r="J30" s="33" t="s">
        <v>197</v>
      </c>
      <c r="K30" s="32">
        <v>0</v>
      </c>
      <c r="L30" s="9" t="str">
        <f>+IF(K30=0.5,"Ganado",IF(K30=0.25,"Empatado",IF(K30&lt;0.25,"Perdido")))</f>
        <v>Perdido</v>
      </c>
      <c r="M30" s="33" t="s">
        <v>197</v>
      </c>
      <c r="N30" s="32">
        <v>0</v>
      </c>
      <c r="O30" s="9" t="str">
        <f>+IF(N30=1,"Ganado",IF(N30=0.5,"Empatado",IF(N30&lt;0.5,"Perdido")))</f>
        <v>Perdido</v>
      </c>
      <c r="P30" s="33" t="s">
        <v>39</v>
      </c>
      <c r="Q30" s="34">
        <f>+H30+K30+N30</f>
        <v>0.5</v>
      </c>
    </row>
    <row r="31" spans="3:17" x14ac:dyDescent="0.25">
      <c r="G31">
        <v>2023</v>
      </c>
      <c r="H31" s="32">
        <v>0.5</v>
      </c>
      <c r="I31" s="9" t="str">
        <f>+IF(H31=0.5,"Ganado",IF(H31=0.25,"Empatado",IF(H31&lt;0.25,"Perdido")))</f>
        <v>Ganado</v>
      </c>
      <c r="J31" s="33" t="s">
        <v>214</v>
      </c>
      <c r="K31" s="32">
        <v>0</v>
      </c>
      <c r="L31" s="9" t="str">
        <f>+IF(K31=0.5,"Ganado",IF(K31=0.25,"Empatado",IF(K31&lt;0.25,"Perdido")))</f>
        <v>Perdido</v>
      </c>
      <c r="M31" s="33" t="s">
        <v>214</v>
      </c>
      <c r="N31" s="32">
        <v>0</v>
      </c>
      <c r="O31" s="9" t="str">
        <f>+IF(N31=1,"Ganado",IF(N31=0.5,"Empatado",IF(N31&lt;0.5,"Perdido")))</f>
        <v>Perdido</v>
      </c>
      <c r="P31" s="33" t="s">
        <v>8</v>
      </c>
      <c r="Q31" s="34">
        <f>+H31+K31+N31</f>
        <v>0.5</v>
      </c>
    </row>
    <row r="32" spans="3:17" ht="15.75" thickBot="1" x14ac:dyDescent="0.3">
      <c r="G32">
        <v>2024</v>
      </c>
      <c r="H32" s="32">
        <v>0.5</v>
      </c>
      <c r="I32" s="9" t="str">
        <f>+IF(H32=0.5,"Ganado",IF(H32=0.25,"Empatado",IF(H32&lt;0.25,"Perdido")))</f>
        <v>Ganado</v>
      </c>
      <c r="J32" s="35" t="s">
        <v>226</v>
      </c>
      <c r="K32" s="32">
        <v>0.25</v>
      </c>
      <c r="L32" s="9" t="str">
        <f>+IF(K32=0.5,"Ganado",IF(K32=0.25,"Empatado",IF(K32&lt;0.25,"Perdido")))</f>
        <v>Empatado</v>
      </c>
      <c r="M32" s="35" t="s">
        <v>226</v>
      </c>
      <c r="N32" s="32">
        <v>1</v>
      </c>
      <c r="O32" s="9" t="str">
        <f>+IF(N32=1,"Ganado",IF(N32=0.5,"Empatado",IF(N32&lt;0.5,"Perdido")))</f>
        <v>Ganado</v>
      </c>
      <c r="P32" s="35" t="s">
        <v>207</v>
      </c>
      <c r="Q32" s="34">
        <f>+H32+K32+N32</f>
        <v>1.75</v>
      </c>
    </row>
    <row r="33" spans="7:17" ht="16.5" thickTop="1" thickBot="1" x14ac:dyDescent="0.3">
      <c r="G33">
        <v>2025</v>
      </c>
      <c r="H33" s="32">
        <v>0.5</v>
      </c>
      <c r="I33" s="9" t="str">
        <f>+IF(H33=0.5,"Ganado",IF(H33=0.25,"Empatado",IF(H33&lt;0.25,"Perdido")))</f>
        <v>Ganado</v>
      </c>
      <c r="J33" s="35" t="s">
        <v>237</v>
      </c>
      <c r="K33" s="32">
        <v>0</v>
      </c>
      <c r="L33" s="9" t="str">
        <f>+IF(K33=0.5,"Ganado",IF(K33=0.25,"Empatado",IF(K33&lt;0.25,"Perdido")))</f>
        <v>Perdido</v>
      </c>
      <c r="M33" s="35" t="s">
        <v>237</v>
      </c>
      <c r="N33" s="32">
        <v>0.5</v>
      </c>
      <c r="O33" s="9" t="str">
        <f>+IF(N33=1,"Ganado",IF(N33=0.5,"Empatado",IF(N33&lt;0.5,"Perdido")))</f>
        <v>Empatado</v>
      </c>
      <c r="P33" s="35" t="s">
        <v>39</v>
      </c>
      <c r="Q33" s="34">
        <f>+H33+K33+N33</f>
        <v>1</v>
      </c>
    </row>
    <row r="34" spans="7:17" ht="16.5" thickTop="1" thickBot="1" x14ac:dyDescent="0.3">
      <c r="G34" s="19" t="s">
        <v>6</v>
      </c>
      <c r="H34" s="38">
        <f>+SUM(H21:H33)</f>
        <v>4.5</v>
      </c>
      <c r="I34" s="19"/>
      <c r="J34" s="39"/>
      <c r="K34" s="38">
        <f>+SUM(K21:K33)</f>
        <v>3.25</v>
      </c>
      <c r="L34" s="19"/>
      <c r="M34" s="39"/>
      <c r="N34" s="38">
        <f>+SUM(N21:N33)</f>
        <v>7</v>
      </c>
      <c r="O34" s="19"/>
      <c r="P34" s="39"/>
      <c r="Q34" s="38">
        <f>SUM(Q21:Q33)</f>
        <v>14.75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Q30"/>
  <sheetViews>
    <sheetView zoomScale="70" zoomScaleNormal="70" workbookViewId="0">
      <selection activeCell="N29" sqref="N29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3" spans="3:17" ht="15.75" thickBot="1" x14ac:dyDescent="0.3"/>
    <row r="4" spans="3:17" ht="16.5" thickTop="1" thickBot="1" x14ac:dyDescent="0.3">
      <c r="C4" s="1" t="s">
        <v>0</v>
      </c>
      <c r="D4" s="2"/>
      <c r="E4" s="3" t="s">
        <v>34</v>
      </c>
      <c r="G4" s="4" t="s">
        <v>2</v>
      </c>
      <c r="H4" s="4" t="s">
        <v>3</v>
      </c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 t="s">
        <v>6</v>
      </c>
    </row>
    <row r="5" spans="3:17" ht="16.5" thickTop="1" thickBot="1" x14ac:dyDescent="0.3">
      <c r="C5" s="5" t="s">
        <v>7</v>
      </c>
      <c r="D5" s="6"/>
      <c r="E5" s="7" t="s">
        <v>171</v>
      </c>
      <c r="H5" s="9"/>
      <c r="I5" s="9"/>
      <c r="J5" s="9"/>
      <c r="K5" s="9"/>
      <c r="L5" s="9"/>
      <c r="M5" s="9"/>
      <c r="N5" s="9"/>
      <c r="O5" s="10"/>
      <c r="P5" s="10"/>
    </row>
    <row r="6" spans="3:17" ht="15.75" thickTop="1" x14ac:dyDescent="0.25">
      <c r="C6" s="11"/>
      <c r="E6" s="12"/>
      <c r="H6" s="9"/>
      <c r="I6" s="9"/>
      <c r="J6" s="9"/>
      <c r="K6" s="9"/>
      <c r="L6" s="9"/>
      <c r="M6" s="9"/>
      <c r="N6" s="9"/>
      <c r="O6" s="10"/>
      <c r="P6" s="10"/>
    </row>
    <row r="7" spans="3:17" x14ac:dyDescent="0.25">
      <c r="C7" s="11" t="s">
        <v>9</v>
      </c>
      <c r="E7" s="13">
        <f>+COUNT(G5:G11)</f>
        <v>5</v>
      </c>
      <c r="F7" s="14"/>
      <c r="G7">
        <v>2021</v>
      </c>
      <c r="H7" s="9">
        <f t="shared" ref="H7" si="0">+COUNTIF($H25:$Q25,"Ganado")</f>
        <v>2</v>
      </c>
      <c r="I7" s="9"/>
      <c r="J7" s="9"/>
      <c r="K7" s="9">
        <f t="shared" ref="K7" si="1">+COUNTIF($H25:$Q25,"Empatado")</f>
        <v>0</v>
      </c>
      <c r="L7" s="9"/>
      <c r="M7" s="9"/>
      <c r="N7" s="9">
        <f t="shared" ref="N7" si="2">+COUNTIF($H25:$Q25,"Perdido")</f>
        <v>1</v>
      </c>
      <c r="O7" s="10"/>
      <c r="P7" s="10"/>
      <c r="Q7">
        <f t="shared" ref="Q7" si="3">+SUM(H7:N7)</f>
        <v>3</v>
      </c>
    </row>
    <row r="8" spans="3:17" x14ac:dyDescent="0.25">
      <c r="C8" s="11" t="s">
        <v>10</v>
      </c>
      <c r="E8" s="15">
        <f>+E7*2</f>
        <v>10</v>
      </c>
      <c r="G8">
        <v>2022</v>
      </c>
      <c r="H8" s="9">
        <f>+COUNTIF($H26:$Q26,"Ganado")</f>
        <v>2</v>
      </c>
      <c r="I8" s="9"/>
      <c r="J8" s="9"/>
      <c r="K8" s="9">
        <f>+COUNTIF($H26:$Q26,"Empatado")</f>
        <v>0</v>
      </c>
      <c r="L8" s="9"/>
      <c r="M8" s="9"/>
      <c r="N8" s="9">
        <f>+COUNTIF($H26:$Q26,"Perdido")</f>
        <v>1</v>
      </c>
      <c r="O8" s="10"/>
      <c r="P8" s="10"/>
      <c r="Q8">
        <f t="shared" ref="Q8" si="4">+SUM(H8:N8)</f>
        <v>3</v>
      </c>
    </row>
    <row r="9" spans="3:17" x14ac:dyDescent="0.25">
      <c r="C9" s="11" t="s">
        <v>11</v>
      </c>
      <c r="E9" s="15">
        <f>+Q30</f>
        <v>6.25</v>
      </c>
      <c r="G9">
        <v>2023</v>
      </c>
      <c r="H9" s="9">
        <f>+COUNTIF($H27:$Q27,"Ganado")</f>
        <v>2</v>
      </c>
      <c r="I9" s="9"/>
      <c r="J9" s="9"/>
      <c r="K9" s="9">
        <f>+COUNTIF($H27:$Q27,"Empatado")</f>
        <v>0</v>
      </c>
      <c r="L9" s="9"/>
      <c r="M9" s="9"/>
      <c r="N9" s="9">
        <f>+COUNTIF($H27:$Q27,"Perdido")</f>
        <v>1</v>
      </c>
      <c r="O9" s="10"/>
      <c r="P9" s="10"/>
      <c r="Q9">
        <f t="shared" ref="Q9" si="5">+SUM(H9:N9)</f>
        <v>3</v>
      </c>
    </row>
    <row r="10" spans="3:17" ht="15.75" thickBot="1" x14ac:dyDescent="0.3">
      <c r="C10" s="16" t="s">
        <v>12</v>
      </c>
      <c r="D10" s="17"/>
      <c r="E10" s="18">
        <f>+E9/E8</f>
        <v>0.625</v>
      </c>
      <c r="G10">
        <v>2024</v>
      </c>
      <c r="H10" s="9">
        <f t="shared" ref="H10:H11" si="6">+COUNTIF($H28:$Q28,"Ganado")</f>
        <v>1</v>
      </c>
      <c r="I10" s="9"/>
      <c r="J10" s="9"/>
      <c r="K10" s="9">
        <f t="shared" ref="K10:K11" si="7">+COUNTIF($H28:$Q28,"Empatado")</f>
        <v>1</v>
      </c>
      <c r="L10" s="9"/>
      <c r="M10" s="9"/>
      <c r="N10" s="9">
        <f t="shared" ref="N10:N11" si="8">+COUNTIF($H28:$Q28,"Perdido")</f>
        <v>1</v>
      </c>
      <c r="O10" s="10"/>
      <c r="P10" s="10"/>
      <c r="Q10">
        <f t="shared" ref="Q10:Q11" si="9">+SUM(H10:N10)</f>
        <v>3</v>
      </c>
    </row>
    <row r="11" spans="3:17" ht="16.5" thickTop="1" thickBot="1" x14ac:dyDescent="0.3">
      <c r="G11">
        <v>2025</v>
      </c>
      <c r="H11" s="9">
        <f t="shared" si="6"/>
        <v>3</v>
      </c>
      <c r="I11" s="9"/>
      <c r="J11" s="9"/>
      <c r="K11" s="9">
        <f t="shared" si="7"/>
        <v>0</v>
      </c>
      <c r="L11" s="9"/>
      <c r="M11" s="9"/>
      <c r="N11" s="9">
        <f t="shared" si="8"/>
        <v>0</v>
      </c>
      <c r="O11" s="10"/>
      <c r="P11" s="10"/>
      <c r="Q11">
        <f t="shared" si="9"/>
        <v>3</v>
      </c>
    </row>
    <row r="12" spans="3:17" ht="16.5" thickTop="1" thickBot="1" x14ac:dyDescent="0.3">
      <c r="C12" s="4" t="s">
        <v>14</v>
      </c>
      <c r="D12" s="4">
        <f>+SUM(D13:D15)</f>
        <v>15</v>
      </c>
      <c r="E12" s="20" t="s">
        <v>15</v>
      </c>
      <c r="G12" s="19" t="s">
        <v>13</v>
      </c>
      <c r="H12" s="19">
        <f>SUM(H5:H11)</f>
        <v>10</v>
      </c>
      <c r="I12" s="19"/>
      <c r="J12" s="19"/>
      <c r="K12" s="19">
        <f>SUM(K5:K11)</f>
        <v>1</v>
      </c>
      <c r="L12" s="19"/>
      <c r="M12" s="19"/>
      <c r="N12" s="19">
        <f>SUM(N5:N11)</f>
        <v>4</v>
      </c>
      <c r="O12" s="19"/>
      <c r="P12" s="19"/>
      <c r="Q12" s="19">
        <f>SUM(Q7:Q11)</f>
        <v>15</v>
      </c>
    </row>
    <row r="13" spans="3:17" ht="15.75" thickTop="1" x14ac:dyDescent="0.25">
      <c r="C13" s="21" t="s">
        <v>16</v>
      </c>
      <c r="D13">
        <f>+D18+D23+D28</f>
        <v>10</v>
      </c>
      <c r="E13" s="22">
        <f>+D13/D$12</f>
        <v>0.66666666666666663</v>
      </c>
      <c r="Q13" t="s">
        <v>227</v>
      </c>
    </row>
    <row r="14" spans="3:17" ht="15.75" thickBot="1" x14ac:dyDescent="0.3">
      <c r="C14" s="21" t="s">
        <v>23</v>
      </c>
      <c r="D14">
        <f>+D19+D24+D29</f>
        <v>1</v>
      </c>
      <c r="E14" s="22">
        <f>+D14/D$12</f>
        <v>6.6666666666666666E-2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19</v>
      </c>
      <c r="M14" s="4" t="s">
        <v>20</v>
      </c>
      <c r="N14" s="4" t="s">
        <v>22</v>
      </c>
      <c r="O14" s="4" t="s">
        <v>19</v>
      </c>
      <c r="P14" s="4" t="s">
        <v>20</v>
      </c>
      <c r="Q14" s="4" t="s">
        <v>6</v>
      </c>
    </row>
    <row r="15" spans="3:17" ht="15.75" thickTop="1" x14ac:dyDescent="0.25">
      <c r="C15" s="21" t="s">
        <v>5</v>
      </c>
      <c r="D15">
        <f>+D20+D25+D30</f>
        <v>4</v>
      </c>
      <c r="E15" s="22">
        <f>+D15/D$12</f>
        <v>0.26666666666666666</v>
      </c>
      <c r="G15" s="23" t="s">
        <v>24</v>
      </c>
      <c r="H15" s="24">
        <v>0.5</v>
      </c>
      <c r="I15" s="24"/>
      <c r="J15" s="25"/>
      <c r="K15" s="24">
        <v>0.5</v>
      </c>
      <c r="L15" s="24"/>
      <c r="M15" s="25"/>
      <c r="N15" s="24">
        <v>1</v>
      </c>
      <c r="O15" s="26"/>
      <c r="P15" s="27"/>
      <c r="Q15" s="28"/>
    </row>
    <row r="16" spans="3:17" x14ac:dyDescent="0.25">
      <c r="G16" s="29" t="s">
        <v>25</v>
      </c>
      <c r="H16" s="30">
        <f>H15*$E$7</f>
        <v>2.5</v>
      </c>
      <c r="I16" s="30"/>
      <c r="J16" s="31"/>
      <c r="K16" s="30">
        <f>K15*$E$7</f>
        <v>2.5</v>
      </c>
      <c r="L16" s="30"/>
      <c r="M16" s="31"/>
      <c r="N16" s="30">
        <f>N15*$E$7</f>
        <v>5</v>
      </c>
      <c r="O16" s="30"/>
      <c r="P16" s="31"/>
      <c r="Q16" s="29">
        <f>+SUM(H16:N16)</f>
        <v>10</v>
      </c>
    </row>
    <row r="17" spans="3:17" ht="15.75" thickBot="1" x14ac:dyDescent="0.3">
      <c r="C17" s="4" t="s">
        <v>27</v>
      </c>
      <c r="D17" s="4">
        <f>+SUM(D18:D20)</f>
        <v>5</v>
      </c>
      <c r="E17" s="20" t="s">
        <v>15</v>
      </c>
      <c r="G17" s="8">
        <v>2013</v>
      </c>
      <c r="H17" s="32"/>
      <c r="I17" s="9"/>
      <c r="J17" s="33"/>
      <c r="K17" s="32"/>
      <c r="L17" s="9"/>
      <c r="M17" s="33"/>
      <c r="N17" s="32"/>
      <c r="O17" s="9"/>
      <c r="P17" s="33"/>
      <c r="Q17" s="34">
        <f t="shared" ref="Q17:Q25" si="10">+H17+K17+N17</f>
        <v>0</v>
      </c>
    </row>
    <row r="18" spans="3:17" ht="15.75" thickTop="1" x14ac:dyDescent="0.25">
      <c r="C18" s="21" t="s">
        <v>29</v>
      </c>
      <c r="D18">
        <f>+COUNTIF($I$17:$I$29,"Ganado")</f>
        <v>4</v>
      </c>
      <c r="E18" s="22">
        <f>+D18/D$17</f>
        <v>0.8</v>
      </c>
      <c r="G18">
        <f>+G17+1</f>
        <v>2014</v>
      </c>
      <c r="H18" s="32"/>
      <c r="I18" s="9"/>
      <c r="J18" s="33"/>
      <c r="K18" s="32"/>
      <c r="L18" s="9"/>
      <c r="M18" s="33"/>
      <c r="N18" s="32"/>
      <c r="O18" s="9"/>
      <c r="P18" s="33"/>
      <c r="Q18" s="34">
        <f t="shared" si="10"/>
        <v>0</v>
      </c>
    </row>
    <row r="19" spans="3:17" x14ac:dyDescent="0.25">
      <c r="C19" s="21" t="s">
        <v>23</v>
      </c>
      <c r="D19">
        <f>+COUNTIF($I$17:$I$29,"Empatado")</f>
        <v>1</v>
      </c>
      <c r="E19" s="22">
        <f>+D19/D$17</f>
        <v>0.2</v>
      </c>
      <c r="G19">
        <f t="shared" ref="G19:G20" si="11">+G18+1</f>
        <v>2015</v>
      </c>
      <c r="H19" s="32"/>
      <c r="I19" s="9"/>
      <c r="J19" s="33"/>
      <c r="K19" s="32"/>
      <c r="L19" s="9"/>
      <c r="M19" s="33"/>
      <c r="N19" s="32"/>
      <c r="O19" s="9"/>
      <c r="P19" s="33"/>
      <c r="Q19" s="34">
        <f t="shared" si="10"/>
        <v>0</v>
      </c>
    </row>
    <row r="20" spans="3:17" x14ac:dyDescent="0.25">
      <c r="C20" s="21" t="s">
        <v>5</v>
      </c>
      <c r="D20">
        <f>+COUNTIF($I$17:$I$29,"Perdido")</f>
        <v>0</v>
      </c>
      <c r="E20" s="22">
        <f>+D20/D$17</f>
        <v>0</v>
      </c>
      <c r="G20">
        <f t="shared" si="11"/>
        <v>2016</v>
      </c>
      <c r="H20" s="32"/>
      <c r="I20" s="9"/>
      <c r="J20" s="33"/>
      <c r="K20" s="32"/>
      <c r="L20" s="9"/>
      <c r="M20" s="33"/>
      <c r="N20" s="32"/>
      <c r="O20" s="9"/>
      <c r="P20" s="33"/>
      <c r="Q20" s="34">
        <f t="shared" si="10"/>
        <v>0</v>
      </c>
    </row>
    <row r="21" spans="3:17" x14ac:dyDescent="0.25">
      <c r="G21">
        <v>2017</v>
      </c>
      <c r="H21" s="32"/>
      <c r="I21" s="9"/>
      <c r="J21" s="33"/>
      <c r="K21" s="32"/>
      <c r="L21" s="9"/>
      <c r="M21" s="33"/>
      <c r="N21" s="32"/>
      <c r="O21" s="9"/>
      <c r="P21" s="33"/>
      <c r="Q21" s="34">
        <f t="shared" si="10"/>
        <v>0</v>
      </c>
    </row>
    <row r="22" spans="3:17" ht="15.75" thickBot="1" x14ac:dyDescent="0.3">
      <c r="C22" s="4" t="s">
        <v>32</v>
      </c>
      <c r="D22" s="4">
        <f>+SUM(D23:D25)</f>
        <v>5</v>
      </c>
      <c r="E22" s="20" t="s">
        <v>15</v>
      </c>
      <c r="G22">
        <v>2018</v>
      </c>
      <c r="H22" s="32"/>
      <c r="I22" s="9"/>
      <c r="J22" s="33"/>
      <c r="K22" s="32"/>
      <c r="L22" s="9"/>
      <c r="M22" s="33"/>
      <c r="N22" s="32"/>
      <c r="O22" s="9"/>
      <c r="P22" s="33"/>
      <c r="Q22" s="34">
        <f t="shared" si="10"/>
        <v>0</v>
      </c>
    </row>
    <row r="23" spans="3:17" ht="15.75" thickTop="1" x14ac:dyDescent="0.25">
      <c r="C23" s="21" t="s">
        <v>16</v>
      </c>
      <c r="D23">
        <f>+COUNTIF($L$17:$L$29,"Ganado")</f>
        <v>4</v>
      </c>
      <c r="E23" s="22">
        <f>+D23/D$22</f>
        <v>0.8</v>
      </c>
      <c r="G23">
        <v>2019</v>
      </c>
      <c r="H23" s="32"/>
      <c r="I23" s="9"/>
      <c r="J23" s="33"/>
      <c r="K23" s="32"/>
      <c r="L23" s="9"/>
      <c r="M23" s="33"/>
      <c r="N23" s="32"/>
      <c r="O23" s="9"/>
      <c r="P23" s="33"/>
      <c r="Q23" s="34">
        <f t="shared" si="10"/>
        <v>0</v>
      </c>
    </row>
    <row r="24" spans="3:17" x14ac:dyDescent="0.25">
      <c r="C24" s="21" t="s">
        <v>23</v>
      </c>
      <c r="D24">
        <f>+COUNTIF($L$17:$L$29,"Empatado")</f>
        <v>0</v>
      </c>
      <c r="E24" s="22">
        <f>+D24/D$22</f>
        <v>0</v>
      </c>
      <c r="G24">
        <v>2020</v>
      </c>
      <c r="H24" s="32"/>
      <c r="I24" s="9"/>
      <c r="J24" s="33"/>
      <c r="K24" s="32"/>
      <c r="L24" s="9"/>
      <c r="M24" s="33"/>
      <c r="N24" s="32"/>
      <c r="O24" s="9"/>
      <c r="P24" s="33"/>
      <c r="Q24" s="34">
        <f t="shared" si="10"/>
        <v>0</v>
      </c>
    </row>
    <row r="25" spans="3:17" x14ac:dyDescent="0.25">
      <c r="C25" s="21" t="s">
        <v>5</v>
      </c>
      <c r="D25">
        <f>+COUNTIF($L$17:$L$29,"Perdido")</f>
        <v>1</v>
      </c>
      <c r="E25" s="22">
        <f>+D25/D$22</f>
        <v>0.2</v>
      </c>
      <c r="G25">
        <v>2021</v>
      </c>
      <c r="H25" s="32">
        <v>0.5</v>
      </c>
      <c r="I25" s="9" t="str">
        <f t="shared" ref="I25" si="12">+IF(H25=0.5,"Ganado",IF(H25=0.25,"Empatado",IF(H25&lt;0.25,"Perdido")))</f>
        <v>Ganado</v>
      </c>
      <c r="J25" s="33" t="s">
        <v>172</v>
      </c>
      <c r="K25" s="32">
        <v>0.5</v>
      </c>
      <c r="L25" s="9" t="str">
        <f t="shared" ref="L25" si="13">+IF(K25=0.5,"Ganado",IF(K25=0.25,"Empatado",IF(K25&lt;0.25,"Perdido")))</f>
        <v>Ganado</v>
      </c>
      <c r="M25" s="33" t="s">
        <v>172</v>
      </c>
      <c r="N25" s="32">
        <v>0</v>
      </c>
      <c r="O25" s="9" t="str">
        <f>+IF(N24=1,"Ganado",IF(N24=0.5,"Empatado",IF(N24&lt;0.5,"Perdido")))</f>
        <v>Perdido</v>
      </c>
      <c r="P25" s="33" t="s">
        <v>74</v>
      </c>
      <c r="Q25" s="34">
        <f t="shared" si="10"/>
        <v>1</v>
      </c>
    </row>
    <row r="26" spans="3:17" x14ac:dyDescent="0.25">
      <c r="G26">
        <v>2022</v>
      </c>
      <c r="H26" s="32">
        <v>0.5</v>
      </c>
      <c r="I26" s="9" t="str">
        <f>+IF(H26=0.5,"Ganado",IF(H26=0.25,"Empatado",IF(H26&lt;0.25,"Perdido")))</f>
        <v>Ganado</v>
      </c>
      <c r="J26" s="33" t="s">
        <v>198</v>
      </c>
      <c r="K26" s="32">
        <v>0.5</v>
      </c>
      <c r="L26" s="9" t="str">
        <f>+IF(K26=0.5,"Ganado",IF(K26=0.25,"Empatado",IF(K26&lt;0.25,"Perdido")))</f>
        <v>Ganado</v>
      </c>
      <c r="M26" s="33" t="s">
        <v>198</v>
      </c>
      <c r="N26" s="32">
        <v>0</v>
      </c>
      <c r="O26" s="9" t="str">
        <f>+IF(N25=1,"Ganado",IF(N25=0.5,"Empatado",IF(N25&lt;0.5,"Perdido")))</f>
        <v>Perdido</v>
      </c>
      <c r="P26" s="33" t="s">
        <v>8</v>
      </c>
      <c r="Q26" s="34">
        <f>+H26+K26+N26</f>
        <v>1</v>
      </c>
    </row>
    <row r="27" spans="3:17" ht="15.75" thickBot="1" x14ac:dyDescent="0.3">
      <c r="C27" s="4" t="s">
        <v>33</v>
      </c>
      <c r="D27" s="4">
        <f>+SUM(D28:D30)</f>
        <v>5</v>
      </c>
      <c r="E27" s="20" t="s">
        <v>15</v>
      </c>
      <c r="G27">
        <v>2023</v>
      </c>
      <c r="H27" s="32">
        <v>0.5</v>
      </c>
      <c r="I27" s="9" t="str">
        <f>+IF(H27=0.5,"Ganado",IF(H27=0.25,"Empatado",IF(H27&lt;0.25,"Perdido")))</f>
        <v>Ganado</v>
      </c>
      <c r="J27" s="33" t="s">
        <v>215</v>
      </c>
      <c r="K27" s="32">
        <v>0</v>
      </c>
      <c r="L27" s="9" t="str">
        <f>+IF(K27=0.5,"Ganado",IF(K27=0.25,"Empatado",IF(K27&lt;0.25,"Perdido")))</f>
        <v>Perdido</v>
      </c>
      <c r="M27" s="33" t="s">
        <v>215</v>
      </c>
      <c r="N27" s="32">
        <v>1</v>
      </c>
      <c r="O27" s="9" t="str">
        <f>+IF($N27=1,"Ganado",IF($N27=0.5,"Empatado",IF($N27&lt;0.5,"Perdido")))</f>
        <v>Ganado</v>
      </c>
      <c r="P27" s="33" t="s">
        <v>43</v>
      </c>
      <c r="Q27" s="34">
        <f>+H27+K27+N27</f>
        <v>1.5</v>
      </c>
    </row>
    <row r="28" spans="3:17" ht="16.5" thickTop="1" thickBot="1" x14ac:dyDescent="0.3">
      <c r="C28" s="21" t="s">
        <v>16</v>
      </c>
      <c r="D28">
        <f>+COUNTIF($O$17:$O$29,"Ganado")</f>
        <v>2</v>
      </c>
      <c r="E28" s="22">
        <f>+D28/D$27</f>
        <v>0.4</v>
      </c>
      <c r="G28">
        <v>2024</v>
      </c>
      <c r="H28" s="32">
        <v>0.25</v>
      </c>
      <c r="I28" s="9" t="str">
        <f>+IF(H28=0.5,"Ganado",IF(H28=0.25,"Empatado",IF(H28&lt;0.25,"Perdido")))</f>
        <v>Empatado</v>
      </c>
      <c r="J28" s="35" t="s">
        <v>228</v>
      </c>
      <c r="K28" s="32">
        <v>0.5</v>
      </c>
      <c r="L28" s="9" t="str">
        <f>+IF(K28=0.5,"Ganado",IF(K28=0.25,"Empatado",IF(K28&lt;0.25,"Perdido")))</f>
        <v>Ganado</v>
      </c>
      <c r="M28" s="35" t="s">
        <v>228</v>
      </c>
      <c r="N28" s="32">
        <v>0</v>
      </c>
      <c r="O28" s="9" t="str">
        <f>+IF($N28=1,"Ganado",IF($N28=0.5,"Empatado",IF($N28&lt;0.5,"Perdido")))</f>
        <v>Perdido</v>
      </c>
      <c r="P28" s="35" t="s">
        <v>8</v>
      </c>
      <c r="Q28" s="34">
        <f>+H28+K28+N28</f>
        <v>0.75</v>
      </c>
    </row>
    <row r="29" spans="3:17" ht="16.5" thickTop="1" thickBot="1" x14ac:dyDescent="0.3">
      <c r="C29" s="21" t="s">
        <v>23</v>
      </c>
      <c r="D29">
        <f>+COUNTIF($O$17:$O$29,"Empatado")</f>
        <v>0</v>
      </c>
      <c r="E29" s="22">
        <f>+D29/D$27</f>
        <v>0</v>
      </c>
      <c r="G29">
        <v>2025</v>
      </c>
      <c r="H29" s="32">
        <v>0.5</v>
      </c>
      <c r="I29" s="9" t="str">
        <f>+IF(H29=0.5,"Ganado",IF(H29=0.25,"Empatado",IF(H29&lt;0.25,"Perdido")))</f>
        <v>Ganado</v>
      </c>
      <c r="J29" s="35" t="s">
        <v>238</v>
      </c>
      <c r="K29" s="32">
        <v>0.5</v>
      </c>
      <c r="L29" s="9" t="str">
        <f>+IF(K29=0.5,"Ganado",IF(K29=0.25,"Empatado",IF(K29&lt;0.25,"Perdido")))</f>
        <v>Ganado</v>
      </c>
      <c r="M29" s="35" t="s">
        <v>238</v>
      </c>
      <c r="N29" s="32">
        <v>1</v>
      </c>
      <c r="O29" s="9" t="str">
        <f>+IF($N29=1,"Ganado",IF($N29=0.5,"Empatado",IF($N29&lt;0.5,"Perdido")))</f>
        <v>Ganado</v>
      </c>
      <c r="P29" s="35" t="s">
        <v>45</v>
      </c>
      <c r="Q29" s="34">
        <f>+H29+K29+N29</f>
        <v>2</v>
      </c>
    </row>
    <row r="30" spans="3:17" ht="16.5" thickTop="1" thickBot="1" x14ac:dyDescent="0.3">
      <c r="C30" s="21" t="s">
        <v>5</v>
      </c>
      <c r="D30">
        <f>+COUNTIF($O$17:$O$29,"Perdido")</f>
        <v>3</v>
      </c>
      <c r="E30" s="22">
        <f>+D30/D$27</f>
        <v>0.6</v>
      </c>
      <c r="G30" s="19" t="s">
        <v>6</v>
      </c>
      <c r="H30" s="38">
        <f>SUM(H19:H29)</f>
        <v>2.25</v>
      </c>
      <c r="I30" s="19"/>
      <c r="J30" s="39"/>
      <c r="K30" s="38">
        <f>SUM(K19:K29)</f>
        <v>2</v>
      </c>
      <c r="L30" s="19"/>
      <c r="M30" s="39"/>
      <c r="N30" s="38">
        <f>SUM(N19:N29)</f>
        <v>2</v>
      </c>
      <c r="O30" s="19"/>
      <c r="P30" s="39"/>
      <c r="Q30" s="38">
        <f>SUM(Q17:Q29)</f>
        <v>6.25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Q30"/>
  <sheetViews>
    <sheetView zoomScale="70" zoomScaleNormal="70" workbookViewId="0">
      <selection activeCell="N29" sqref="N29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3" spans="3:17" ht="15.75" thickBot="1" x14ac:dyDescent="0.3"/>
    <row r="4" spans="3:17" ht="16.5" thickTop="1" thickBot="1" x14ac:dyDescent="0.3">
      <c r="C4" s="1" t="s">
        <v>0</v>
      </c>
      <c r="D4" s="2"/>
      <c r="E4" s="3" t="s">
        <v>34</v>
      </c>
      <c r="G4" s="4" t="s">
        <v>2</v>
      </c>
      <c r="H4" s="4" t="s">
        <v>3</v>
      </c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 t="s">
        <v>6</v>
      </c>
    </row>
    <row r="5" spans="3:17" ht="16.5" thickTop="1" thickBot="1" x14ac:dyDescent="0.3">
      <c r="C5" s="5" t="s">
        <v>7</v>
      </c>
      <c r="D5" s="6"/>
      <c r="E5" s="7" t="s">
        <v>166</v>
      </c>
      <c r="G5">
        <v>2019</v>
      </c>
      <c r="H5" s="9">
        <f t="shared" ref="H5:H7" si="0">+COUNTIF($H23:$Q23,"Ganado")</f>
        <v>1</v>
      </c>
      <c r="I5" s="9"/>
      <c r="J5" s="9"/>
      <c r="K5" s="9">
        <f t="shared" ref="K5:K7" si="1">+COUNTIF($H23:$Q23,"Empatado")</f>
        <v>0</v>
      </c>
      <c r="L5" s="9"/>
      <c r="M5" s="9"/>
      <c r="N5" s="9">
        <f t="shared" ref="N5:N7" si="2">+COUNTIF($H23:$Q23,"Perdido")</f>
        <v>1</v>
      </c>
      <c r="O5" s="10"/>
      <c r="P5" s="10"/>
      <c r="Q5">
        <f t="shared" ref="Q5:Q6" si="3">+SUM(H5:N5)</f>
        <v>2</v>
      </c>
    </row>
    <row r="6" spans="3:17" ht="15.75" thickTop="1" x14ac:dyDescent="0.25">
      <c r="C6" s="11"/>
      <c r="E6" s="12"/>
      <c r="G6">
        <v>2020</v>
      </c>
      <c r="H6" s="9">
        <f t="shared" si="0"/>
        <v>2</v>
      </c>
      <c r="I6" s="9"/>
      <c r="J6" s="9"/>
      <c r="K6" s="9">
        <f t="shared" si="1"/>
        <v>0</v>
      </c>
      <c r="L6" s="9"/>
      <c r="M6" s="9"/>
      <c r="N6" s="9">
        <f t="shared" si="2"/>
        <v>1</v>
      </c>
      <c r="O6" s="10"/>
      <c r="P6" s="10"/>
      <c r="Q6">
        <f t="shared" si="3"/>
        <v>3</v>
      </c>
    </row>
    <row r="7" spans="3:17" x14ac:dyDescent="0.25">
      <c r="C7" s="11" t="s">
        <v>9</v>
      </c>
      <c r="E7" s="13">
        <f>+COUNT(G5:G11)</f>
        <v>7</v>
      </c>
      <c r="F7" s="14"/>
      <c r="G7">
        <v>2021</v>
      </c>
      <c r="H7" s="9">
        <f t="shared" si="0"/>
        <v>0</v>
      </c>
      <c r="I7" s="9"/>
      <c r="J7" s="9"/>
      <c r="K7" s="9">
        <f t="shared" si="1"/>
        <v>0</v>
      </c>
      <c r="L7" s="9"/>
      <c r="M7" s="9"/>
      <c r="N7" s="9">
        <f t="shared" si="2"/>
        <v>3</v>
      </c>
      <c r="O7" s="10"/>
      <c r="P7" s="10"/>
      <c r="Q7">
        <f t="shared" ref="Q7" si="4">+SUM(H7:N7)</f>
        <v>3</v>
      </c>
    </row>
    <row r="8" spans="3:17" x14ac:dyDescent="0.25">
      <c r="C8" s="11" t="s">
        <v>10</v>
      </c>
      <c r="E8" s="15">
        <f>+E7*2</f>
        <v>14</v>
      </c>
      <c r="G8">
        <v>2022</v>
      </c>
      <c r="H8" s="9">
        <f>+COUNTIF($H26:$Q26,"Ganado")</f>
        <v>1</v>
      </c>
      <c r="I8" s="9"/>
      <c r="J8" s="9"/>
      <c r="K8" s="9">
        <f>+COUNTIF($H26:$Q26,"Empatado")</f>
        <v>1</v>
      </c>
      <c r="L8" s="9"/>
      <c r="M8" s="9"/>
      <c r="N8" s="9">
        <f>+COUNTIF($H26:$Q26,"Perdido")</f>
        <v>1</v>
      </c>
      <c r="O8" s="10"/>
      <c r="P8" s="10"/>
      <c r="Q8">
        <f>+SUM(H8:N8)</f>
        <v>3</v>
      </c>
    </row>
    <row r="9" spans="3:17" x14ac:dyDescent="0.25">
      <c r="C9" s="11" t="s">
        <v>11</v>
      </c>
      <c r="E9" s="15">
        <f>+Q30</f>
        <v>4.75</v>
      </c>
      <c r="G9">
        <v>2023</v>
      </c>
      <c r="H9" s="9">
        <f>+COUNTIF($H27:$Q27,"Ganado")</f>
        <v>0</v>
      </c>
      <c r="I9" s="9"/>
      <c r="J9" s="9"/>
      <c r="K9" s="9">
        <f>+COUNTIF($H27:$Q27,"Empatado")</f>
        <v>0</v>
      </c>
      <c r="L9" s="9"/>
      <c r="M9" s="9"/>
      <c r="N9" s="9">
        <f>+COUNTIF($H27:$Q27,"Perdido")</f>
        <v>3</v>
      </c>
      <c r="O9" s="10"/>
      <c r="P9" s="10"/>
      <c r="Q9">
        <f>+SUM(H9:N9)</f>
        <v>3</v>
      </c>
    </row>
    <row r="10" spans="3:17" ht="15.75" thickBot="1" x14ac:dyDescent="0.3">
      <c r="C10" s="16" t="s">
        <v>12</v>
      </c>
      <c r="D10" s="17"/>
      <c r="E10" s="18">
        <f>+E9/E8</f>
        <v>0.3392857142857143</v>
      </c>
      <c r="G10">
        <v>2024</v>
      </c>
      <c r="H10" s="9">
        <f t="shared" ref="H10:H11" si="5">+COUNTIF($H28:$Q28,"Ganado")</f>
        <v>1</v>
      </c>
      <c r="I10" s="9"/>
      <c r="J10" s="9"/>
      <c r="K10" s="9">
        <f t="shared" ref="K10:K11" si="6">+COUNTIF($H28:$Q28,"Empatado")</f>
        <v>0</v>
      </c>
      <c r="L10" s="9"/>
      <c r="M10" s="9"/>
      <c r="N10" s="9">
        <f t="shared" ref="N10:N11" si="7">+COUNTIF($H28:$Q28,"Perdido")</f>
        <v>2</v>
      </c>
      <c r="O10" s="10"/>
      <c r="P10" s="10"/>
      <c r="Q10">
        <f t="shared" ref="Q10:Q11" si="8">+SUM(H10:N10)</f>
        <v>3</v>
      </c>
    </row>
    <row r="11" spans="3:17" ht="16.5" thickTop="1" thickBot="1" x14ac:dyDescent="0.3">
      <c r="G11">
        <v>2025</v>
      </c>
      <c r="H11" s="9">
        <f t="shared" si="5"/>
        <v>1</v>
      </c>
      <c r="I11" s="9"/>
      <c r="J11" s="9"/>
      <c r="K11" s="9">
        <f t="shared" si="6"/>
        <v>0</v>
      </c>
      <c r="L11" s="9"/>
      <c r="M11" s="9"/>
      <c r="N11" s="9">
        <f t="shared" si="7"/>
        <v>2</v>
      </c>
      <c r="O11" s="10"/>
      <c r="P11" s="10"/>
      <c r="Q11">
        <f t="shared" si="8"/>
        <v>3</v>
      </c>
    </row>
    <row r="12" spans="3:17" ht="16.5" thickTop="1" thickBot="1" x14ac:dyDescent="0.3">
      <c r="C12" s="4" t="s">
        <v>14</v>
      </c>
      <c r="D12" s="4">
        <f>+SUM(D13:D15)</f>
        <v>20</v>
      </c>
      <c r="E12" s="20" t="s">
        <v>15</v>
      </c>
      <c r="G12" s="19" t="s">
        <v>13</v>
      </c>
      <c r="H12" s="19">
        <f>SUM(H5:H7)</f>
        <v>3</v>
      </c>
      <c r="I12" s="19"/>
      <c r="J12" s="19"/>
      <c r="K12" s="19">
        <f>SUM(K5:K7)</f>
        <v>0</v>
      </c>
      <c r="L12" s="19"/>
      <c r="M12" s="19"/>
      <c r="N12" s="19">
        <f>SUM(N5:N7)</f>
        <v>5</v>
      </c>
      <c r="O12" s="19"/>
      <c r="P12" s="19"/>
      <c r="Q12" s="19">
        <f>SUM(Q5:Q11)</f>
        <v>20</v>
      </c>
    </row>
    <row r="13" spans="3:17" ht="15.75" thickTop="1" x14ac:dyDescent="0.25">
      <c r="C13" s="21" t="s">
        <v>16</v>
      </c>
      <c r="D13">
        <f>+D18+D23+D28</f>
        <v>6</v>
      </c>
      <c r="E13" s="22">
        <f>+D13/D$12</f>
        <v>0.3</v>
      </c>
    </row>
    <row r="14" spans="3:17" ht="15.75" thickBot="1" x14ac:dyDescent="0.3">
      <c r="C14" s="21" t="s">
        <v>23</v>
      </c>
      <c r="D14">
        <f>+D19+D24+D29</f>
        <v>1</v>
      </c>
      <c r="E14" s="22">
        <f>+D14/D$12</f>
        <v>0.05</v>
      </c>
      <c r="G14" s="4" t="s">
        <v>17</v>
      </c>
      <c r="H14" s="4" t="s">
        <v>18</v>
      </c>
      <c r="I14" s="4" t="s">
        <v>19</v>
      </c>
      <c r="J14" s="4" t="s">
        <v>20</v>
      </c>
      <c r="K14" s="4" t="s">
        <v>21</v>
      </c>
      <c r="L14" s="4" t="s">
        <v>19</v>
      </c>
      <c r="M14" s="4" t="s">
        <v>20</v>
      </c>
      <c r="N14" s="4" t="s">
        <v>22</v>
      </c>
      <c r="O14" s="4" t="s">
        <v>19</v>
      </c>
      <c r="P14" s="4" t="s">
        <v>20</v>
      </c>
      <c r="Q14" s="4" t="s">
        <v>6</v>
      </c>
    </row>
    <row r="15" spans="3:17" ht="15.75" thickTop="1" x14ac:dyDescent="0.25">
      <c r="C15" s="21" t="s">
        <v>5</v>
      </c>
      <c r="D15">
        <f>+D20+D25+D30</f>
        <v>13</v>
      </c>
      <c r="E15" s="22">
        <f>+D15/D$12</f>
        <v>0.65</v>
      </c>
      <c r="G15" s="23" t="s">
        <v>24</v>
      </c>
      <c r="H15" s="24">
        <v>0.5</v>
      </c>
      <c r="I15" s="24"/>
      <c r="J15" s="25"/>
      <c r="K15" s="24">
        <v>0.5</v>
      </c>
      <c r="L15" s="24"/>
      <c r="M15" s="25"/>
      <c r="N15" s="24">
        <v>1</v>
      </c>
      <c r="O15" s="26"/>
      <c r="P15" s="27"/>
      <c r="Q15" s="28"/>
    </row>
    <row r="16" spans="3:17" x14ac:dyDescent="0.25">
      <c r="G16" s="29" t="s">
        <v>25</v>
      </c>
      <c r="H16" s="30">
        <f>H15*$E$7</f>
        <v>3.5</v>
      </c>
      <c r="I16" s="30"/>
      <c r="J16" s="31"/>
      <c r="K16" s="30">
        <f>K15*$E$7</f>
        <v>3.5</v>
      </c>
      <c r="L16" s="30"/>
      <c r="M16" s="31"/>
      <c r="N16" s="30">
        <v>2</v>
      </c>
      <c r="O16" s="30"/>
      <c r="P16" s="31"/>
      <c r="Q16" s="29">
        <f>+SUM(H16:N16)</f>
        <v>9</v>
      </c>
    </row>
    <row r="17" spans="3:17" ht="15.75" thickBot="1" x14ac:dyDescent="0.3">
      <c r="C17" s="4" t="s">
        <v>27</v>
      </c>
      <c r="D17" s="4">
        <f>+SUM(D18:D20)</f>
        <v>7</v>
      </c>
      <c r="E17" s="20" t="s">
        <v>15</v>
      </c>
      <c r="G17" s="8">
        <v>2013</v>
      </c>
      <c r="H17" s="32"/>
      <c r="I17" s="9"/>
      <c r="J17" s="33"/>
      <c r="K17" s="32"/>
      <c r="L17" s="9"/>
      <c r="M17" s="33"/>
      <c r="N17" s="32"/>
      <c r="O17" s="9"/>
      <c r="P17" s="33"/>
      <c r="Q17" s="34">
        <f t="shared" ref="Q17:Q25" si="9">+H17+K17+N17</f>
        <v>0</v>
      </c>
    </row>
    <row r="18" spans="3:17" ht="15.75" thickTop="1" x14ac:dyDescent="0.25">
      <c r="C18" s="21" t="s">
        <v>29</v>
      </c>
      <c r="D18">
        <f>+COUNTIF($I$17:$I$29,"Ganado")</f>
        <v>2</v>
      </c>
      <c r="E18" s="22">
        <f>+D18/D$17</f>
        <v>0.2857142857142857</v>
      </c>
      <c r="G18">
        <f>+G17+1</f>
        <v>2014</v>
      </c>
      <c r="H18" s="32"/>
      <c r="I18" s="9"/>
      <c r="J18" s="33"/>
      <c r="K18" s="32"/>
      <c r="L18" s="9"/>
      <c r="M18" s="33"/>
      <c r="N18" s="32"/>
      <c r="O18" s="9"/>
      <c r="P18" s="33"/>
      <c r="Q18" s="34">
        <f t="shared" si="9"/>
        <v>0</v>
      </c>
    </row>
    <row r="19" spans="3:17" x14ac:dyDescent="0.25">
      <c r="C19" s="21" t="s">
        <v>23</v>
      </c>
      <c r="D19">
        <f>+COUNTIF($I$17:$I$29,"Empatado")</f>
        <v>0</v>
      </c>
      <c r="E19" s="22">
        <f>+D19/D$17</f>
        <v>0</v>
      </c>
      <c r="G19">
        <f t="shared" ref="G19:G20" si="10">+G18+1</f>
        <v>2015</v>
      </c>
      <c r="H19" s="32"/>
      <c r="I19" s="9"/>
      <c r="J19" s="33"/>
      <c r="K19" s="32"/>
      <c r="L19" s="9"/>
      <c r="M19" s="33"/>
      <c r="N19" s="32"/>
      <c r="O19" s="9"/>
      <c r="P19" s="33"/>
      <c r="Q19" s="34">
        <f t="shared" si="9"/>
        <v>0</v>
      </c>
    </row>
    <row r="20" spans="3:17" x14ac:dyDescent="0.25">
      <c r="C20" s="21" t="s">
        <v>5</v>
      </c>
      <c r="D20">
        <f>+COUNTIF($I$17:$I$29,"Perdido")</f>
        <v>5</v>
      </c>
      <c r="E20" s="22">
        <f>+D20/D$17</f>
        <v>0.7142857142857143</v>
      </c>
      <c r="G20">
        <f t="shared" si="10"/>
        <v>2016</v>
      </c>
      <c r="H20" s="32"/>
      <c r="I20" s="9"/>
      <c r="J20" s="33"/>
      <c r="K20" s="32"/>
      <c r="L20" s="9"/>
      <c r="M20" s="33"/>
      <c r="N20" s="32"/>
      <c r="O20" s="9"/>
      <c r="P20" s="33"/>
      <c r="Q20" s="34">
        <f t="shared" si="9"/>
        <v>0</v>
      </c>
    </row>
    <row r="21" spans="3:17" x14ac:dyDescent="0.25">
      <c r="G21">
        <v>2017</v>
      </c>
      <c r="H21" s="32"/>
      <c r="I21" s="9"/>
      <c r="J21" s="33"/>
      <c r="K21" s="32"/>
      <c r="L21" s="9"/>
      <c r="M21" s="33"/>
      <c r="N21" s="32"/>
      <c r="O21" s="9"/>
      <c r="P21" s="33"/>
      <c r="Q21" s="34">
        <f t="shared" si="9"/>
        <v>0</v>
      </c>
    </row>
    <row r="22" spans="3:17" ht="15.75" thickBot="1" x14ac:dyDescent="0.3">
      <c r="C22" s="4" t="s">
        <v>32</v>
      </c>
      <c r="D22" s="4">
        <f>+SUM(D23:D25)</f>
        <v>7</v>
      </c>
      <c r="E22" s="20" t="s">
        <v>15</v>
      </c>
      <c r="G22">
        <v>2018</v>
      </c>
      <c r="H22" s="32"/>
      <c r="I22" s="9"/>
      <c r="J22" s="33"/>
      <c r="K22" s="32"/>
      <c r="L22" s="9"/>
      <c r="M22" s="33"/>
      <c r="N22" s="32"/>
      <c r="O22" s="9"/>
      <c r="P22" s="33"/>
      <c r="Q22" s="34">
        <f t="shared" si="9"/>
        <v>0</v>
      </c>
    </row>
    <row r="23" spans="3:17" ht="15.75" thickTop="1" x14ac:dyDescent="0.25">
      <c r="C23" s="21" t="s">
        <v>16</v>
      </c>
      <c r="D23">
        <f>+COUNTIF($L$17:$L$29,"Ganado")</f>
        <v>1</v>
      </c>
      <c r="E23" s="22">
        <f>+D23/D$22</f>
        <v>0.14285714285714285</v>
      </c>
      <c r="G23">
        <v>2019</v>
      </c>
      <c r="H23" s="32">
        <v>0.5</v>
      </c>
      <c r="I23" s="9" t="str">
        <f t="shared" ref="I23:I25" si="11">+IF(H23=0.5,"Ganado",IF(H23=0.25,"Empatado",IF(H23&lt;0.25,"Perdido")))</f>
        <v>Ganado</v>
      </c>
      <c r="J23" s="33" t="s">
        <v>167</v>
      </c>
      <c r="K23" s="32">
        <v>0</v>
      </c>
      <c r="L23" s="9" t="str">
        <f t="shared" ref="L23:L25" si="12">+IF(K23=0.5,"Ganado",IF(K23=0.25,"Empatado",IF(K23&lt;0.25,"Perdido")))</f>
        <v>Perdido</v>
      </c>
      <c r="M23" s="33" t="s">
        <v>167</v>
      </c>
      <c r="N23" s="32"/>
      <c r="O23" s="9"/>
      <c r="P23" s="33"/>
      <c r="Q23" s="34">
        <f t="shared" si="9"/>
        <v>0.5</v>
      </c>
    </row>
    <row r="24" spans="3:17" x14ac:dyDescent="0.25">
      <c r="C24" s="21" t="s">
        <v>23</v>
      </c>
      <c r="D24">
        <f>+COUNTIF($L$17:$L$29,"Empatado")</f>
        <v>1</v>
      </c>
      <c r="E24" s="22">
        <f>+D24/D$22</f>
        <v>0.14285714285714285</v>
      </c>
      <c r="G24">
        <v>2020</v>
      </c>
      <c r="H24" s="32">
        <v>0</v>
      </c>
      <c r="I24" s="9" t="str">
        <f t="shared" si="11"/>
        <v>Perdido</v>
      </c>
      <c r="J24" s="33" t="s">
        <v>168</v>
      </c>
      <c r="K24" s="32">
        <v>0.5</v>
      </c>
      <c r="L24" s="9" t="str">
        <f t="shared" si="12"/>
        <v>Ganado</v>
      </c>
      <c r="M24" s="33" t="s">
        <v>168</v>
      </c>
      <c r="N24" s="32">
        <v>1</v>
      </c>
      <c r="O24" s="9" t="str">
        <f t="shared" ref="O24:O25" si="13">+IF(N24=1,"Ganado",IF(N24=0.5,"Empatado",IF(N24&lt;0.5,"Perdido")))</f>
        <v>Ganado</v>
      </c>
      <c r="P24" s="33" t="s">
        <v>37</v>
      </c>
      <c r="Q24" s="34">
        <f t="shared" si="9"/>
        <v>1.5</v>
      </c>
    </row>
    <row r="25" spans="3:17" x14ac:dyDescent="0.25">
      <c r="C25" s="21" t="s">
        <v>5</v>
      </c>
      <c r="D25">
        <f>+COUNTIF($L$17:$L$29,"Perdido")</f>
        <v>5</v>
      </c>
      <c r="E25" s="22">
        <f>+D25/D$22</f>
        <v>0.7142857142857143</v>
      </c>
      <c r="G25">
        <v>2021</v>
      </c>
      <c r="H25" s="32">
        <v>0</v>
      </c>
      <c r="I25" s="9" t="str">
        <f t="shared" si="11"/>
        <v>Perdido</v>
      </c>
      <c r="J25" s="33" t="s">
        <v>170</v>
      </c>
      <c r="K25" s="32">
        <v>0</v>
      </c>
      <c r="L25" s="9" t="str">
        <f t="shared" si="12"/>
        <v>Perdido</v>
      </c>
      <c r="M25" s="33" t="s">
        <v>170</v>
      </c>
      <c r="N25" s="32">
        <v>0</v>
      </c>
      <c r="O25" s="9" t="str">
        <f t="shared" si="13"/>
        <v>Perdido</v>
      </c>
      <c r="P25" s="33" t="s">
        <v>37</v>
      </c>
      <c r="Q25" s="34">
        <f t="shared" si="9"/>
        <v>0</v>
      </c>
    </row>
    <row r="26" spans="3:17" x14ac:dyDescent="0.25">
      <c r="G26">
        <v>2022</v>
      </c>
      <c r="H26" s="32">
        <v>0.5</v>
      </c>
      <c r="I26" s="9" t="str">
        <f>+IF(H26=0.5,"Ganado",IF(H26=0.25,"Empatado",IF(H26&lt;0.25,"Perdido")))</f>
        <v>Ganado</v>
      </c>
      <c r="J26" s="33" t="s">
        <v>199</v>
      </c>
      <c r="K26" s="32">
        <v>0.25</v>
      </c>
      <c r="L26" s="9" t="str">
        <f>+IF(K26=0.5,"Ganado",IF(K26=0.25,"Empatado",IF(K26&lt;0.25,"Perdido")))</f>
        <v>Empatado</v>
      </c>
      <c r="M26" s="33" t="s">
        <v>199</v>
      </c>
      <c r="N26" s="32">
        <v>0</v>
      </c>
      <c r="O26" s="9" t="str">
        <f>+IF(N26=1,"Ganado",IF(N26=0.5,"Empatado",IF(N26&lt;0.5,"Perdido")))</f>
        <v>Perdido</v>
      </c>
      <c r="P26" s="33" t="s">
        <v>79</v>
      </c>
      <c r="Q26" s="34">
        <f>+H26+K26+N26</f>
        <v>0.75</v>
      </c>
    </row>
    <row r="27" spans="3:17" ht="15.75" thickBot="1" x14ac:dyDescent="0.3">
      <c r="C27" s="4" t="s">
        <v>33</v>
      </c>
      <c r="D27" s="4">
        <f>+SUM(D28:D30)</f>
        <v>6</v>
      </c>
      <c r="E27" s="20" t="s">
        <v>15</v>
      </c>
      <c r="G27">
        <v>2023</v>
      </c>
      <c r="H27" s="32">
        <v>0</v>
      </c>
      <c r="I27" s="9" t="str">
        <f>+IF(H27=0.5,"Ganado",IF(H27=0.25,"Empatado",IF(H27&lt;0.25,"Perdido")))</f>
        <v>Perdido</v>
      </c>
      <c r="J27" s="33" t="s">
        <v>216</v>
      </c>
      <c r="K27" s="32">
        <v>0</v>
      </c>
      <c r="L27" s="9" t="str">
        <f>+IF(K27=0.5,"Ganado",IF(K27=0.25,"Empatado",IF(K27&lt;0.25,"Perdido")))</f>
        <v>Perdido</v>
      </c>
      <c r="M27" s="33" t="s">
        <v>216</v>
      </c>
      <c r="N27" s="32">
        <v>0</v>
      </c>
      <c r="O27" s="9" t="str">
        <f>+IF(N27=1,"Ganado",IF(N27=0.5,"Empatado",IF(N27&lt;0.5,"Perdido")))</f>
        <v>Perdido</v>
      </c>
      <c r="P27" s="33" t="s">
        <v>79</v>
      </c>
      <c r="Q27" s="34">
        <f>+H27+K27+N27</f>
        <v>0</v>
      </c>
    </row>
    <row r="28" spans="3:17" ht="16.5" thickTop="1" thickBot="1" x14ac:dyDescent="0.3">
      <c r="C28" s="21" t="s">
        <v>16</v>
      </c>
      <c r="D28">
        <f>+COUNTIF($O$17:$O$29,"Ganado")</f>
        <v>3</v>
      </c>
      <c r="E28" s="22">
        <f>+D28/D$27</f>
        <v>0.5</v>
      </c>
      <c r="G28">
        <v>2024</v>
      </c>
      <c r="H28" s="32">
        <v>0</v>
      </c>
      <c r="I28" s="9" t="str">
        <f>+IF(H28=0.5,"Ganado",IF(H28=0.25,"Empatado",IF(H28&lt;0.25,"Perdido")))</f>
        <v>Perdido</v>
      </c>
      <c r="J28" s="35" t="s">
        <v>229</v>
      </c>
      <c r="K28" s="32">
        <v>0</v>
      </c>
      <c r="L28" s="9" t="str">
        <f>+IF(K28=0.5,"Ganado",IF(K28=0.25,"Empatado",IF(K28&lt;0.25,"Perdido")))</f>
        <v>Perdido</v>
      </c>
      <c r="M28" s="35" t="s">
        <v>229</v>
      </c>
      <c r="N28" s="32">
        <v>1</v>
      </c>
      <c r="O28" s="9" t="str">
        <f>+IF(N28=1,"Ganado",IF(N28=0.5,"Empatado",IF(N28&lt;0.5,"Perdido")))</f>
        <v>Ganado</v>
      </c>
      <c r="P28" s="35" t="s">
        <v>45</v>
      </c>
      <c r="Q28" s="34">
        <f>+H28+K28+N28</f>
        <v>1</v>
      </c>
    </row>
    <row r="29" spans="3:17" ht="16.5" thickTop="1" thickBot="1" x14ac:dyDescent="0.3">
      <c r="C29" s="21" t="s">
        <v>23</v>
      </c>
      <c r="D29">
        <f>+COUNTIF($O$17:$O$29,"Empatado")</f>
        <v>0</v>
      </c>
      <c r="E29" s="22">
        <f>+D29/D$27</f>
        <v>0</v>
      </c>
      <c r="G29">
        <v>2025</v>
      </c>
      <c r="H29" s="32">
        <v>0</v>
      </c>
      <c r="I29" s="9" t="str">
        <f>+IF(H29=0.5,"Ganado",IF(H29=0.25,"Empatado",IF(H29&lt;0.25,"Perdido")))</f>
        <v>Perdido</v>
      </c>
      <c r="J29" s="35" t="s">
        <v>239</v>
      </c>
      <c r="K29" s="32">
        <v>0</v>
      </c>
      <c r="L29" s="9" t="str">
        <f>+IF(K29=0.5,"Ganado",IF(K29=0.25,"Empatado",IF(K29&lt;0.25,"Perdido")))</f>
        <v>Perdido</v>
      </c>
      <c r="M29" s="35" t="s">
        <v>239</v>
      </c>
      <c r="N29" s="32">
        <v>1</v>
      </c>
      <c r="O29" s="9" t="str">
        <f>+IF(N29=1,"Ganado",IF(N29=0.5,"Empatado",IF(N29&lt;0.5,"Perdido")))</f>
        <v>Ganado</v>
      </c>
      <c r="P29" s="35" t="s">
        <v>240</v>
      </c>
      <c r="Q29" s="34">
        <f>+H29+K29+N29</f>
        <v>1</v>
      </c>
    </row>
    <row r="30" spans="3:17" ht="16.5" thickTop="1" thickBot="1" x14ac:dyDescent="0.3">
      <c r="C30" s="21" t="s">
        <v>5</v>
      </c>
      <c r="D30">
        <f>+COUNTIF($O$17:$O$29,"Perdido")</f>
        <v>3</v>
      </c>
      <c r="E30" s="22">
        <f>+D30/D$27</f>
        <v>0.5</v>
      </c>
      <c r="G30" s="19" t="s">
        <v>6</v>
      </c>
      <c r="H30" s="38">
        <f>SUM(H19:H29)</f>
        <v>1</v>
      </c>
      <c r="I30" s="19"/>
      <c r="J30" s="39"/>
      <c r="K30" s="38">
        <f>SUM(K19:K29)</f>
        <v>0.75</v>
      </c>
      <c r="L30" s="19"/>
      <c r="M30" s="39"/>
      <c r="N30" s="38">
        <f>SUM(N19:N29)</f>
        <v>3</v>
      </c>
      <c r="O30" s="19"/>
      <c r="P30" s="39"/>
      <c r="Q30" s="38">
        <f>SUM(Q17:Q29)</f>
        <v>4.75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3:Q30"/>
  <sheetViews>
    <sheetView zoomScale="70" zoomScaleNormal="70" workbookViewId="0">
      <selection activeCell="G15" sqref="G15:G19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3" spans="3:17" ht="15.75" thickBot="1" x14ac:dyDescent="0.3"/>
    <row r="4" spans="3:17" ht="16.5" thickTop="1" thickBot="1" x14ac:dyDescent="0.3">
      <c r="C4" s="1" t="s">
        <v>0</v>
      </c>
      <c r="D4" s="2"/>
      <c r="E4" s="3" t="s">
        <v>34</v>
      </c>
      <c r="G4" s="4" t="s">
        <v>2</v>
      </c>
      <c r="H4" s="4" t="s">
        <v>3</v>
      </c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 t="s">
        <v>6</v>
      </c>
    </row>
    <row r="5" spans="3:17" ht="16.5" thickTop="1" thickBot="1" x14ac:dyDescent="0.3">
      <c r="C5" s="5" t="s">
        <v>7</v>
      </c>
      <c r="D5" s="6"/>
      <c r="E5" s="7" t="s">
        <v>28</v>
      </c>
      <c r="G5" s="8">
        <v>2013</v>
      </c>
      <c r="H5" s="9">
        <f>+COUNTIF($H15:$Q15,"Ganado")</f>
        <v>1</v>
      </c>
      <c r="I5" s="9"/>
      <c r="J5" s="9"/>
      <c r="K5" s="9">
        <f>+COUNTIF($H15:$Q15,"Empatado")</f>
        <v>2</v>
      </c>
      <c r="L5" s="9"/>
      <c r="M5" s="9"/>
      <c r="N5" s="9">
        <f>+COUNTIF($H15:$Q15,"Perdido")</f>
        <v>0</v>
      </c>
      <c r="O5" s="10"/>
      <c r="P5" s="10"/>
      <c r="Q5">
        <f t="shared" ref="Q5:Q8" si="0">+SUM(H5:N5)</f>
        <v>3</v>
      </c>
    </row>
    <row r="6" spans="3:17" ht="15.75" thickTop="1" x14ac:dyDescent="0.25">
      <c r="C6" s="11"/>
      <c r="E6" s="12"/>
      <c r="G6">
        <v>2014</v>
      </c>
      <c r="H6" s="9">
        <f>+COUNTIF($H16:$Q16,"Ganado")</f>
        <v>2</v>
      </c>
      <c r="I6" s="9"/>
      <c r="J6" s="9"/>
      <c r="K6" s="9">
        <f>+COUNTIF($H16:$Q16,"Empatado")</f>
        <v>0</v>
      </c>
      <c r="L6" s="9"/>
      <c r="M6" s="9"/>
      <c r="N6" s="9">
        <f>+COUNTIF($H16:$Q16,"Perdido")</f>
        <v>1</v>
      </c>
      <c r="O6" s="10"/>
      <c r="P6" s="10"/>
      <c r="Q6">
        <f t="shared" si="0"/>
        <v>3</v>
      </c>
    </row>
    <row r="7" spans="3:17" x14ac:dyDescent="0.25">
      <c r="C7" s="11" t="s">
        <v>9</v>
      </c>
      <c r="E7" s="13">
        <f>+COUNT(G5:G9)</f>
        <v>5</v>
      </c>
      <c r="F7" s="14"/>
      <c r="G7">
        <v>2015</v>
      </c>
      <c r="H7" s="9">
        <f>+COUNTIF($H17:$Q17,"Ganado")</f>
        <v>1</v>
      </c>
      <c r="I7" s="9"/>
      <c r="J7" s="9"/>
      <c r="K7" s="9">
        <f>+COUNTIF($H17:$Q17,"Empatado")</f>
        <v>2</v>
      </c>
      <c r="L7" s="9"/>
      <c r="M7" s="9"/>
      <c r="N7" s="9">
        <f>+COUNTIF($H17:$Q17,"Perdido")</f>
        <v>0</v>
      </c>
      <c r="O7" s="10"/>
      <c r="P7" s="10"/>
      <c r="Q7">
        <f t="shared" si="0"/>
        <v>3</v>
      </c>
    </row>
    <row r="8" spans="3:17" x14ac:dyDescent="0.25">
      <c r="C8" s="11" t="s">
        <v>10</v>
      </c>
      <c r="E8" s="15">
        <f>+E7*2</f>
        <v>10</v>
      </c>
      <c r="G8">
        <v>2016</v>
      </c>
      <c r="H8" s="9">
        <f>+COUNTIF($H18:$Q18,"Ganado")</f>
        <v>1</v>
      </c>
      <c r="I8" s="9"/>
      <c r="J8" s="9"/>
      <c r="K8" s="9">
        <f>+COUNTIF($H18:$Q18,"Empatado")</f>
        <v>2</v>
      </c>
      <c r="L8" s="9"/>
      <c r="M8" s="9"/>
      <c r="N8" s="9">
        <f>+COUNTIF($H18:$Q18,"Perdido")</f>
        <v>0</v>
      </c>
      <c r="O8" s="10"/>
      <c r="P8" s="10"/>
      <c r="Q8">
        <f t="shared" si="0"/>
        <v>3</v>
      </c>
    </row>
    <row r="9" spans="3:17" ht="15.75" thickBot="1" x14ac:dyDescent="0.3">
      <c r="C9" s="11" t="s">
        <v>11</v>
      </c>
      <c r="E9" s="15">
        <f>+Q20</f>
        <v>6.75</v>
      </c>
      <c r="G9">
        <v>2025</v>
      </c>
      <c r="H9" s="9">
        <f>+COUNTIF($H19:$Q19,"Ganado")</f>
        <v>2</v>
      </c>
      <c r="I9" s="9"/>
      <c r="J9" s="9"/>
      <c r="K9" s="9">
        <f>+COUNTIF($H19:$Q19,"Empatado")</f>
        <v>0</v>
      </c>
      <c r="L9" s="9"/>
      <c r="M9" s="9"/>
      <c r="N9" s="9">
        <f>+COUNTIF($H19:$Q19,"Perdido")</f>
        <v>1</v>
      </c>
      <c r="O9" s="10"/>
      <c r="P9" s="10"/>
      <c r="Q9">
        <f t="shared" ref="Q9" si="1">+SUM(H9:N9)</f>
        <v>3</v>
      </c>
    </row>
    <row r="10" spans="3:17" ht="16.5" thickTop="1" thickBot="1" x14ac:dyDescent="0.3">
      <c r="C10" s="16" t="s">
        <v>12</v>
      </c>
      <c r="D10" s="17"/>
      <c r="E10" s="18">
        <f>+E9/E8</f>
        <v>0.67500000000000004</v>
      </c>
      <c r="G10" s="19" t="s">
        <v>13</v>
      </c>
      <c r="H10" s="19">
        <f>+SUM(H5:H8)</f>
        <v>5</v>
      </c>
      <c r="I10" s="19"/>
      <c r="J10" s="19"/>
      <c r="K10" s="19">
        <f>+SUM(K5:K8)</f>
        <v>6</v>
      </c>
      <c r="L10" s="19"/>
      <c r="M10" s="19"/>
      <c r="N10" s="19">
        <f>+SUM(N5:N8)</f>
        <v>1</v>
      </c>
      <c r="O10" s="19"/>
      <c r="P10" s="19"/>
      <c r="Q10" s="19">
        <f>+SUM(Q5:Q9)</f>
        <v>15</v>
      </c>
    </row>
    <row r="11" spans="3:17" ht="15.75" thickTop="1" x14ac:dyDescent="0.25"/>
    <row r="12" spans="3:17" ht="15.75" thickBot="1" x14ac:dyDescent="0.3">
      <c r="C12" s="4" t="s">
        <v>14</v>
      </c>
      <c r="D12" s="4">
        <f>+SUM(D13:D15)</f>
        <v>15</v>
      </c>
      <c r="E12" s="20" t="s">
        <v>15</v>
      </c>
      <c r="G12" s="4" t="s">
        <v>17</v>
      </c>
      <c r="H12" s="4" t="s">
        <v>18</v>
      </c>
      <c r="I12" s="4" t="s">
        <v>19</v>
      </c>
      <c r="J12" s="4" t="s">
        <v>20</v>
      </c>
      <c r="K12" s="4" t="s">
        <v>21</v>
      </c>
      <c r="L12" s="4" t="s">
        <v>19</v>
      </c>
      <c r="M12" s="4" t="s">
        <v>20</v>
      </c>
      <c r="N12" s="4" t="s">
        <v>22</v>
      </c>
      <c r="O12" s="4" t="s">
        <v>19</v>
      </c>
      <c r="P12" s="4" t="s">
        <v>20</v>
      </c>
      <c r="Q12" s="4" t="s">
        <v>6</v>
      </c>
    </row>
    <row r="13" spans="3:17" ht="15.75" thickTop="1" x14ac:dyDescent="0.25">
      <c r="C13" s="21" t="s">
        <v>16</v>
      </c>
      <c r="D13">
        <f>+D18+D23+D28</f>
        <v>7</v>
      </c>
      <c r="E13" s="22">
        <f>+D13/D$12</f>
        <v>0.46666666666666667</v>
      </c>
      <c r="G13" s="23" t="s">
        <v>24</v>
      </c>
      <c r="H13" s="24">
        <v>0.5</v>
      </c>
      <c r="I13" s="24"/>
      <c r="J13" s="25"/>
      <c r="K13" s="24">
        <v>0.5</v>
      </c>
      <c r="L13" s="24"/>
      <c r="M13" s="25"/>
      <c r="N13" s="24">
        <v>1</v>
      </c>
      <c r="O13" s="26"/>
      <c r="P13" s="27"/>
      <c r="Q13" s="28"/>
    </row>
    <row r="14" spans="3:17" x14ac:dyDescent="0.25">
      <c r="C14" s="21" t="s">
        <v>23</v>
      </c>
      <c r="D14">
        <f>+D19+D24+D29</f>
        <v>6</v>
      </c>
      <c r="E14" s="22">
        <f>+D14/D$12</f>
        <v>0.4</v>
      </c>
      <c r="G14" s="29" t="s">
        <v>25</v>
      </c>
      <c r="H14" s="30">
        <f>H13*$E$7</f>
        <v>2.5</v>
      </c>
      <c r="I14" s="30"/>
      <c r="J14" s="31"/>
      <c r="K14" s="30">
        <f>K13*$E$7</f>
        <v>2.5</v>
      </c>
      <c r="L14" s="30"/>
      <c r="M14" s="31"/>
      <c r="N14" s="30">
        <f>N13*$E$7</f>
        <v>5</v>
      </c>
      <c r="O14" s="30"/>
      <c r="P14" s="31"/>
      <c r="Q14" s="29">
        <f>+SUM(H14:N14)</f>
        <v>10</v>
      </c>
    </row>
    <row r="15" spans="3:17" x14ac:dyDescent="0.25">
      <c r="C15" s="21" t="s">
        <v>5</v>
      </c>
      <c r="D15">
        <f>+D20+D25+D30</f>
        <v>2</v>
      </c>
      <c r="E15" s="22">
        <f>+D15/D$12</f>
        <v>0.13333333333333333</v>
      </c>
      <c r="G15" s="8">
        <v>2013</v>
      </c>
      <c r="H15" s="32">
        <v>0.5</v>
      </c>
      <c r="I15" s="9" t="str">
        <f t="shared" ref="I15:I19" si="2">+IF(H15=0.5,"Ganado",IF(H15=0.25,"Empatado",IF(H15&lt;0.25,"Perdido")))</f>
        <v>Ganado</v>
      </c>
      <c r="J15" s="33" t="s">
        <v>67</v>
      </c>
      <c r="K15" s="32">
        <v>0.25</v>
      </c>
      <c r="L15" s="9" t="str">
        <f t="shared" ref="L15:L19" si="3">+IF(K15=0.5,"Ganado",IF(K15=0.25,"Empatado",IF(K15&lt;0.25,"Perdido")))</f>
        <v>Empatado</v>
      </c>
      <c r="M15" s="33" t="s">
        <v>67</v>
      </c>
      <c r="N15" s="32">
        <v>0.5</v>
      </c>
      <c r="O15" s="9" t="str">
        <f t="shared" ref="O15:O19" si="4">+IF(N15=1,"Ganado",IF(N15=0.5,"Empatado",IF(N15&lt;0.5,"Perdido")))</f>
        <v>Empatado</v>
      </c>
      <c r="P15" s="33" t="s">
        <v>58</v>
      </c>
      <c r="Q15" s="34">
        <f t="shared" ref="Q15:Q19" si="5">+H15+K15+N15</f>
        <v>1.25</v>
      </c>
    </row>
    <row r="16" spans="3:17" x14ac:dyDescent="0.25">
      <c r="G16">
        <f>+G15+1</f>
        <v>2014</v>
      </c>
      <c r="H16" s="32">
        <v>0</v>
      </c>
      <c r="I16" s="9" t="str">
        <f t="shared" si="2"/>
        <v>Perdido</v>
      </c>
      <c r="J16" s="33" t="s">
        <v>68</v>
      </c>
      <c r="K16" s="32">
        <v>0.5</v>
      </c>
      <c r="L16" s="9" t="str">
        <f t="shared" si="3"/>
        <v>Ganado</v>
      </c>
      <c r="M16" s="33" t="s">
        <v>68</v>
      </c>
      <c r="N16" s="32">
        <v>1</v>
      </c>
      <c r="O16" s="9" t="str">
        <f t="shared" si="4"/>
        <v>Ganado</v>
      </c>
      <c r="P16" s="33" t="s">
        <v>8</v>
      </c>
      <c r="Q16" s="34">
        <f t="shared" si="5"/>
        <v>1.5</v>
      </c>
    </row>
    <row r="17" spans="3:17" ht="15.75" thickBot="1" x14ac:dyDescent="0.3">
      <c r="C17" s="4" t="s">
        <v>27</v>
      </c>
      <c r="D17" s="4">
        <f>+SUM(D18:D20)</f>
        <v>5</v>
      </c>
      <c r="E17" s="20" t="s">
        <v>15</v>
      </c>
      <c r="G17">
        <f t="shared" ref="G17:G18" si="6">+G16+1</f>
        <v>2015</v>
      </c>
      <c r="H17" s="32">
        <v>0.25</v>
      </c>
      <c r="I17" s="9" t="str">
        <f t="shared" si="2"/>
        <v>Empatado</v>
      </c>
      <c r="J17" s="33" t="s">
        <v>69</v>
      </c>
      <c r="K17" s="32">
        <v>0.25</v>
      </c>
      <c r="L17" s="9" t="str">
        <f t="shared" si="3"/>
        <v>Empatado</v>
      </c>
      <c r="M17" s="33" t="s">
        <v>69</v>
      </c>
      <c r="N17" s="32">
        <v>1</v>
      </c>
      <c r="O17" s="9" t="str">
        <f t="shared" si="4"/>
        <v>Ganado</v>
      </c>
      <c r="P17" s="33" t="s">
        <v>8</v>
      </c>
      <c r="Q17" s="34">
        <f t="shared" si="5"/>
        <v>1.5</v>
      </c>
    </row>
    <row r="18" spans="3:17" ht="15.75" thickTop="1" x14ac:dyDescent="0.25">
      <c r="C18" s="21" t="s">
        <v>29</v>
      </c>
      <c r="D18">
        <f>+COUNTIF($I$15:$I$19,"Ganado")</f>
        <v>2</v>
      </c>
      <c r="E18" s="22">
        <f>+D18/D$17</f>
        <v>0.4</v>
      </c>
      <c r="G18">
        <f t="shared" si="6"/>
        <v>2016</v>
      </c>
      <c r="H18" s="32">
        <v>0.25</v>
      </c>
      <c r="I18" s="9" t="str">
        <f t="shared" si="2"/>
        <v>Empatado</v>
      </c>
      <c r="J18" s="33" t="s">
        <v>70</v>
      </c>
      <c r="K18" s="32">
        <v>0.25</v>
      </c>
      <c r="L18" s="9" t="str">
        <f t="shared" si="3"/>
        <v>Empatado</v>
      </c>
      <c r="M18" s="33" t="s">
        <v>70</v>
      </c>
      <c r="N18" s="32">
        <v>1</v>
      </c>
      <c r="O18" s="9" t="str">
        <f t="shared" si="4"/>
        <v>Ganado</v>
      </c>
      <c r="P18" s="33" t="s">
        <v>58</v>
      </c>
      <c r="Q18" s="34">
        <f t="shared" si="5"/>
        <v>1.5</v>
      </c>
    </row>
    <row r="19" spans="3:17" ht="15.75" thickBot="1" x14ac:dyDescent="0.3">
      <c r="C19" s="21" t="s">
        <v>23</v>
      </c>
      <c r="D19">
        <f>+COUNTIF($I$15:$I$19,"Empatado")</f>
        <v>2</v>
      </c>
      <c r="E19" s="22">
        <f>+D19/D$17</f>
        <v>0.4</v>
      </c>
      <c r="G19">
        <v>2025</v>
      </c>
      <c r="H19" s="32">
        <v>0.5</v>
      </c>
      <c r="I19" s="9" t="str">
        <f t="shared" si="2"/>
        <v>Ganado</v>
      </c>
      <c r="J19" s="35" t="s">
        <v>241</v>
      </c>
      <c r="K19" s="36">
        <v>0.5</v>
      </c>
      <c r="L19" s="37" t="str">
        <f t="shared" si="3"/>
        <v>Ganado</v>
      </c>
      <c r="M19" s="35" t="s">
        <v>241</v>
      </c>
      <c r="N19" s="36">
        <v>0</v>
      </c>
      <c r="O19" s="37" t="str">
        <f t="shared" si="4"/>
        <v>Perdido</v>
      </c>
      <c r="P19" s="33" t="s">
        <v>58</v>
      </c>
      <c r="Q19" s="34">
        <f t="shared" si="5"/>
        <v>1</v>
      </c>
    </row>
    <row r="20" spans="3:17" ht="16.5" thickTop="1" thickBot="1" x14ac:dyDescent="0.3">
      <c r="C20" s="21" t="s">
        <v>5</v>
      </c>
      <c r="D20">
        <f>+COUNTIF($I$15:$I$19,"Perdido")</f>
        <v>1</v>
      </c>
      <c r="E20" s="22">
        <f>+D20/D$17</f>
        <v>0.2</v>
      </c>
      <c r="G20" s="19" t="s">
        <v>6</v>
      </c>
      <c r="H20" s="38">
        <f>+SUM(H15:H19)</f>
        <v>1.5</v>
      </c>
      <c r="I20" s="19"/>
      <c r="J20" s="39"/>
      <c r="K20" s="38">
        <f>+SUM(K15:K19)</f>
        <v>1.75</v>
      </c>
      <c r="L20" s="19"/>
      <c r="M20" s="39"/>
      <c r="N20" s="38">
        <f>+SUM(N15:N19)</f>
        <v>3.5</v>
      </c>
      <c r="O20" s="19"/>
      <c r="P20" s="39"/>
      <c r="Q20" s="38">
        <f>+SUM(Q15:Q19)</f>
        <v>6.75</v>
      </c>
    </row>
    <row r="22" spans="3:17" ht="15.75" thickBot="1" x14ac:dyDescent="0.3">
      <c r="C22" s="4" t="s">
        <v>32</v>
      </c>
      <c r="D22" s="4">
        <f>+SUM(D23:D25)</f>
        <v>5</v>
      </c>
      <c r="E22" s="20" t="s">
        <v>15</v>
      </c>
    </row>
    <row r="23" spans="3:17" ht="15.75" thickTop="1" x14ac:dyDescent="0.25">
      <c r="C23" s="21" t="s">
        <v>16</v>
      </c>
      <c r="D23">
        <f>+COUNTIF($L$15:$L$19,"Ganado")</f>
        <v>2</v>
      </c>
      <c r="E23" s="22">
        <f>+D23/D$22</f>
        <v>0.4</v>
      </c>
    </row>
    <row r="24" spans="3:17" x14ac:dyDescent="0.25">
      <c r="C24" s="21" t="s">
        <v>23</v>
      </c>
      <c r="D24">
        <f>+COUNTIF($L$15:$L$19,"Empatado")</f>
        <v>3</v>
      </c>
      <c r="E24" s="22">
        <f>+D24/D$22</f>
        <v>0.6</v>
      </c>
    </row>
    <row r="25" spans="3:17" x14ac:dyDescent="0.25">
      <c r="C25" s="21" t="s">
        <v>5</v>
      </c>
      <c r="D25">
        <f>+COUNTIF($L$15:$L$19,"Perdido")</f>
        <v>0</v>
      </c>
      <c r="E25" s="22">
        <f>+D25/D$22</f>
        <v>0</v>
      </c>
    </row>
    <row r="27" spans="3:17" ht="15.75" thickBot="1" x14ac:dyDescent="0.3">
      <c r="C27" s="4" t="s">
        <v>33</v>
      </c>
      <c r="D27" s="4">
        <f>+SUM(D28:D30)</f>
        <v>5</v>
      </c>
      <c r="E27" s="20" t="s">
        <v>15</v>
      </c>
    </row>
    <row r="28" spans="3:17" ht="15.75" thickTop="1" x14ac:dyDescent="0.25">
      <c r="C28" s="21" t="s">
        <v>16</v>
      </c>
      <c r="D28">
        <f>+COUNTIF($O$15:$O$19,"Ganado")</f>
        <v>3</v>
      </c>
      <c r="E28" s="22">
        <f>+D28/D$27</f>
        <v>0.6</v>
      </c>
    </row>
    <row r="29" spans="3:17" x14ac:dyDescent="0.25">
      <c r="C29" s="21" t="s">
        <v>23</v>
      </c>
      <c r="D29">
        <f>+COUNTIF($O$15:$O$19,"Empatado")</f>
        <v>1</v>
      </c>
      <c r="E29" s="22">
        <f>+D29/D$27</f>
        <v>0.2</v>
      </c>
    </row>
    <row r="30" spans="3:17" x14ac:dyDescent="0.25">
      <c r="C30" s="21" t="s">
        <v>5</v>
      </c>
      <c r="D30">
        <f>+COUNTIF($O$15:$O$19,"Perdido")</f>
        <v>1</v>
      </c>
      <c r="E30" s="22">
        <f>+D30/D$27</f>
        <v>0.2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Q30"/>
  <sheetViews>
    <sheetView zoomScale="70" zoomScaleNormal="70" workbookViewId="0">
      <selection activeCell="J34" sqref="J34"/>
    </sheetView>
  </sheetViews>
  <sheetFormatPr defaultRowHeight="15" x14ac:dyDescent="0.25"/>
  <cols>
    <col min="1" max="2" width="4.42578125" customWidth="1"/>
    <col min="3" max="3" width="25.85546875" customWidth="1"/>
    <col min="4" max="5" width="12" customWidth="1"/>
    <col min="6" max="6" width="4.5703125" customWidth="1"/>
    <col min="7" max="7" width="21" customWidth="1"/>
    <col min="8" max="9" width="17.42578125" customWidth="1"/>
    <col min="10" max="10" width="39.140625" customWidth="1"/>
    <col min="11" max="12" width="17.42578125" customWidth="1"/>
    <col min="13" max="13" width="39.140625" customWidth="1"/>
    <col min="14" max="15" width="17.42578125" customWidth="1"/>
    <col min="16" max="16" width="39.140625" customWidth="1"/>
    <col min="17" max="17" width="17.42578125" customWidth="1"/>
  </cols>
  <sheetData>
    <row r="3" spans="3:17" ht="15.75" thickBot="1" x14ac:dyDescent="0.3"/>
    <row r="4" spans="3:17" ht="16.5" thickTop="1" thickBot="1" x14ac:dyDescent="0.3">
      <c r="C4" s="1" t="s">
        <v>0</v>
      </c>
      <c r="D4" s="2"/>
      <c r="E4" s="3" t="s">
        <v>34</v>
      </c>
      <c r="G4" s="4" t="s">
        <v>2</v>
      </c>
      <c r="H4" s="4" t="s">
        <v>3</v>
      </c>
      <c r="I4" s="4"/>
      <c r="J4" s="4"/>
      <c r="K4" s="4" t="s">
        <v>4</v>
      </c>
      <c r="L4" s="4"/>
      <c r="M4" s="4"/>
      <c r="N4" s="4" t="s">
        <v>5</v>
      </c>
      <c r="O4" s="4"/>
      <c r="P4" s="4"/>
      <c r="Q4" s="4" t="s">
        <v>6</v>
      </c>
    </row>
    <row r="5" spans="3:17" ht="16.5" thickTop="1" thickBot="1" x14ac:dyDescent="0.3">
      <c r="C5" s="5" t="s">
        <v>7</v>
      </c>
      <c r="D5" s="6"/>
      <c r="E5" s="7" t="s">
        <v>165</v>
      </c>
      <c r="G5">
        <v>2019</v>
      </c>
      <c r="H5" s="9">
        <f t="shared" ref="H5:H6" si="0">+COUNTIF($H19:$Q19,"Ganado")</f>
        <v>2</v>
      </c>
      <c r="I5" s="9"/>
      <c r="J5" s="9"/>
      <c r="K5" s="9">
        <f t="shared" ref="K5:K6" si="1">+COUNTIF($H19:$Q19,"Empatado")</f>
        <v>0</v>
      </c>
      <c r="L5" s="9"/>
      <c r="M5" s="9"/>
      <c r="N5" s="9">
        <f t="shared" ref="N5:N6" si="2">+COUNTIF($H19:$Q19,"Perdido")</f>
        <v>1</v>
      </c>
      <c r="O5" s="10"/>
      <c r="P5" s="10"/>
      <c r="Q5">
        <f t="shared" ref="Q5:Q6" si="3">+SUM(H5:N5)</f>
        <v>3</v>
      </c>
    </row>
    <row r="6" spans="3:17" ht="15.75" thickTop="1" x14ac:dyDescent="0.25">
      <c r="C6" s="11"/>
      <c r="E6" s="12"/>
      <c r="G6">
        <v>2020</v>
      </c>
      <c r="H6" s="9">
        <f t="shared" si="0"/>
        <v>0</v>
      </c>
      <c r="I6" s="9"/>
      <c r="J6" s="9"/>
      <c r="K6" s="9">
        <f t="shared" si="1"/>
        <v>2</v>
      </c>
      <c r="L6" s="9"/>
      <c r="M6" s="9"/>
      <c r="N6" s="9">
        <f t="shared" si="2"/>
        <v>1</v>
      </c>
      <c r="O6" s="10"/>
      <c r="P6" s="10"/>
      <c r="Q6">
        <f t="shared" si="3"/>
        <v>3</v>
      </c>
    </row>
    <row r="7" spans="3:17" ht="15.75" thickBot="1" x14ac:dyDescent="0.3">
      <c r="C7" s="11" t="s">
        <v>9</v>
      </c>
      <c r="E7" s="13">
        <f>+COUNT(G5:G7)</f>
        <v>2</v>
      </c>
      <c r="F7" s="14"/>
      <c r="H7" s="9"/>
      <c r="I7" s="9"/>
      <c r="J7" s="9"/>
      <c r="K7" s="9"/>
      <c r="L7" s="9"/>
      <c r="M7" s="9"/>
      <c r="N7" s="9"/>
      <c r="O7" s="10"/>
      <c r="P7" s="10"/>
    </row>
    <row r="8" spans="3:17" ht="16.5" thickTop="1" thickBot="1" x14ac:dyDescent="0.3">
      <c r="C8" s="11" t="s">
        <v>10</v>
      </c>
      <c r="E8" s="15">
        <f>+E7*2</f>
        <v>4</v>
      </c>
      <c r="G8" s="19" t="s">
        <v>13</v>
      </c>
      <c r="H8" s="19">
        <f>SUM(H5:H7)</f>
        <v>2</v>
      </c>
      <c r="I8" s="19"/>
      <c r="J8" s="19"/>
      <c r="K8" s="19">
        <f>SUM(K5:K7)</f>
        <v>2</v>
      </c>
      <c r="L8" s="19"/>
      <c r="M8" s="19"/>
      <c r="N8" s="19">
        <f>SUM(N5:N7)</f>
        <v>2</v>
      </c>
      <c r="O8" s="19"/>
      <c r="P8" s="19"/>
      <c r="Q8" s="19">
        <f>SUM(Q5:Q7)</f>
        <v>6</v>
      </c>
    </row>
    <row r="9" spans="3:17" x14ac:dyDescent="0.25">
      <c r="C9" s="11" t="s">
        <v>11</v>
      </c>
      <c r="E9" s="15">
        <f>+Q22</f>
        <v>2</v>
      </c>
    </row>
    <row r="10" spans="3:17" ht="15.75" thickBot="1" x14ac:dyDescent="0.3">
      <c r="C10" s="16" t="s">
        <v>12</v>
      </c>
      <c r="D10" s="17"/>
      <c r="E10" s="18">
        <f>+E9/E8</f>
        <v>0.5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19</v>
      </c>
      <c r="M10" s="4" t="s">
        <v>20</v>
      </c>
      <c r="N10" s="4" t="s">
        <v>22</v>
      </c>
      <c r="O10" s="4" t="s">
        <v>19</v>
      </c>
      <c r="P10" s="4" t="s">
        <v>20</v>
      </c>
      <c r="Q10" s="4" t="s">
        <v>6</v>
      </c>
    </row>
    <row r="11" spans="3:17" ht="15.75" thickTop="1" x14ac:dyDescent="0.25">
      <c r="G11" s="23" t="s">
        <v>24</v>
      </c>
      <c r="H11" s="24">
        <v>0.5</v>
      </c>
      <c r="I11" s="24"/>
      <c r="J11" s="25"/>
      <c r="K11" s="24">
        <v>0.5</v>
      </c>
      <c r="L11" s="24"/>
      <c r="M11" s="25"/>
      <c r="N11" s="24">
        <v>1</v>
      </c>
      <c r="O11" s="26"/>
      <c r="P11" s="27"/>
      <c r="Q11" s="28"/>
    </row>
    <row r="12" spans="3:17" ht="15.75" thickBot="1" x14ac:dyDescent="0.3">
      <c r="C12" s="4" t="s">
        <v>14</v>
      </c>
      <c r="D12" s="4">
        <f>+SUM(D13:D15)</f>
        <v>6</v>
      </c>
      <c r="E12" s="20" t="s">
        <v>15</v>
      </c>
      <c r="G12" s="29" t="s">
        <v>25</v>
      </c>
      <c r="H12" s="30">
        <f>H11*$E$7</f>
        <v>1</v>
      </c>
      <c r="I12" s="30"/>
      <c r="J12" s="31"/>
      <c r="K12" s="30">
        <f>K11*$E$7</f>
        <v>1</v>
      </c>
      <c r="L12" s="30"/>
      <c r="M12" s="31"/>
      <c r="N12" s="30">
        <f>N11*$E$7</f>
        <v>2</v>
      </c>
      <c r="O12" s="30"/>
      <c r="P12" s="31"/>
      <c r="Q12" s="29">
        <f>+SUM(H12:N12)</f>
        <v>4</v>
      </c>
    </row>
    <row r="13" spans="3:17" ht="15.75" thickTop="1" x14ac:dyDescent="0.25">
      <c r="C13" s="21" t="s">
        <v>16</v>
      </c>
      <c r="D13">
        <f>+D18+D23+D28</f>
        <v>2</v>
      </c>
      <c r="E13" s="22">
        <f>+D13/D$12</f>
        <v>0.33333333333333331</v>
      </c>
      <c r="G13" s="8">
        <v>2013</v>
      </c>
      <c r="H13" s="32"/>
      <c r="I13" s="9"/>
      <c r="J13" s="33"/>
      <c r="K13" s="32"/>
      <c r="L13" s="9"/>
      <c r="M13" s="33"/>
      <c r="N13" s="32"/>
      <c r="O13" s="9"/>
      <c r="P13" s="33"/>
      <c r="Q13" s="34">
        <f t="shared" ref="Q13:Q20" si="4">+H13+K13+N13</f>
        <v>0</v>
      </c>
    </row>
    <row r="14" spans="3:17" x14ac:dyDescent="0.25">
      <c r="C14" s="21" t="s">
        <v>23</v>
      </c>
      <c r="D14">
        <f>+D19+D24+D29</f>
        <v>2</v>
      </c>
      <c r="E14" s="22">
        <f>+D14/D$12</f>
        <v>0.33333333333333331</v>
      </c>
      <c r="G14">
        <f>+G13+1</f>
        <v>2014</v>
      </c>
      <c r="H14" s="32"/>
      <c r="I14" s="9"/>
      <c r="J14" s="33"/>
      <c r="K14" s="32"/>
      <c r="L14" s="9"/>
      <c r="M14" s="33"/>
      <c r="N14" s="32"/>
      <c r="O14" s="9"/>
      <c r="P14" s="33"/>
      <c r="Q14" s="34">
        <f t="shared" si="4"/>
        <v>0</v>
      </c>
    </row>
    <row r="15" spans="3:17" x14ac:dyDescent="0.25">
      <c r="C15" s="21" t="s">
        <v>5</v>
      </c>
      <c r="D15">
        <f>+D20+D25+D30</f>
        <v>2</v>
      </c>
      <c r="E15" s="22">
        <f>+D15/D$12</f>
        <v>0.33333333333333331</v>
      </c>
      <c r="G15">
        <f t="shared" ref="G15:G16" si="5">+G14+1</f>
        <v>2015</v>
      </c>
      <c r="H15" s="32"/>
      <c r="I15" s="9"/>
      <c r="J15" s="33"/>
      <c r="K15" s="32"/>
      <c r="L15" s="9"/>
      <c r="M15" s="33"/>
      <c r="N15" s="32"/>
      <c r="O15" s="9"/>
      <c r="P15" s="33"/>
      <c r="Q15" s="34">
        <f t="shared" si="4"/>
        <v>0</v>
      </c>
    </row>
    <row r="16" spans="3:17" x14ac:dyDescent="0.25">
      <c r="G16">
        <f t="shared" si="5"/>
        <v>2016</v>
      </c>
      <c r="H16" s="32"/>
      <c r="I16" s="9"/>
      <c r="J16" s="33"/>
      <c r="K16" s="32"/>
      <c r="L16" s="9"/>
      <c r="M16" s="33"/>
      <c r="N16" s="32"/>
      <c r="O16" s="9"/>
      <c r="P16" s="33"/>
      <c r="Q16" s="34">
        <f t="shared" si="4"/>
        <v>0</v>
      </c>
    </row>
    <row r="17" spans="3:17" ht="15.75" thickBot="1" x14ac:dyDescent="0.3">
      <c r="C17" s="4" t="s">
        <v>27</v>
      </c>
      <c r="D17" s="4">
        <f>+SUM(D18:D20)</f>
        <v>2</v>
      </c>
      <c r="E17" s="20" t="s">
        <v>15</v>
      </c>
      <c r="G17">
        <v>2017</v>
      </c>
      <c r="H17" s="32"/>
      <c r="I17" s="9"/>
      <c r="J17" s="33"/>
      <c r="K17" s="32"/>
      <c r="L17" s="9"/>
      <c r="M17" s="33"/>
      <c r="N17" s="32"/>
      <c r="O17" s="9"/>
      <c r="P17" s="33"/>
      <c r="Q17" s="34">
        <f t="shared" si="4"/>
        <v>0</v>
      </c>
    </row>
    <row r="18" spans="3:17" ht="15.75" thickTop="1" x14ac:dyDescent="0.25">
      <c r="C18" s="21" t="s">
        <v>29</v>
      </c>
      <c r="D18">
        <f>+COUNTIF($I$13:$I$21,"Ganado")</f>
        <v>0</v>
      </c>
      <c r="E18" s="22">
        <f>+D18/D$17</f>
        <v>0</v>
      </c>
      <c r="G18">
        <v>2018</v>
      </c>
      <c r="H18" s="32"/>
      <c r="I18" s="9"/>
      <c r="J18" s="33"/>
      <c r="K18" s="32"/>
      <c r="L18" s="9"/>
      <c r="M18" s="33"/>
      <c r="N18" s="32"/>
      <c r="O18" s="9"/>
      <c r="P18" s="33"/>
      <c r="Q18" s="34">
        <f t="shared" si="4"/>
        <v>0</v>
      </c>
    </row>
    <row r="19" spans="3:17" x14ac:dyDescent="0.25">
      <c r="C19" s="21" t="s">
        <v>23</v>
      </c>
      <c r="D19">
        <f>+COUNTIF($I$13:$I$21,"Empatado")</f>
        <v>1</v>
      </c>
      <c r="E19" s="22">
        <f>+D19/D$17</f>
        <v>0.5</v>
      </c>
      <c r="G19">
        <v>2019</v>
      </c>
      <c r="H19" s="32">
        <v>0</v>
      </c>
      <c r="I19" s="9" t="str">
        <f t="shared" ref="I19:I20" si="6">+IF(H19=0.5,"Ganado",IF(H19=0.25,"Empatado",IF(H19&lt;0.25,"Perdido")))</f>
        <v>Perdido</v>
      </c>
      <c r="J19" s="33" t="s">
        <v>163</v>
      </c>
      <c r="K19" s="32">
        <v>0.5</v>
      </c>
      <c r="L19" s="9" t="str">
        <f t="shared" ref="L19:L20" si="7">+IF(K19=0.5,"Ganado",IF(K19=0.25,"Empatado",IF(K19&lt;0.25,"Perdido")))</f>
        <v>Ganado</v>
      </c>
      <c r="M19" s="33" t="s">
        <v>163</v>
      </c>
      <c r="N19" s="32">
        <v>1</v>
      </c>
      <c r="O19" s="9" t="str">
        <f t="shared" ref="O19:O20" si="8">+IF(N19=1,"Ganado",IF(N19=0.5,"Empatado",IF(N19&lt;0.5,"Perdido")))</f>
        <v>Ganado</v>
      </c>
      <c r="P19" s="33" t="s">
        <v>52</v>
      </c>
      <c r="Q19" s="34">
        <f t="shared" si="4"/>
        <v>1.5</v>
      </c>
    </row>
    <row r="20" spans="3:17" x14ac:dyDescent="0.25">
      <c r="C20" s="21" t="s">
        <v>5</v>
      </c>
      <c r="D20">
        <f>+COUNTIF($I$13:$I$21,"Perdido")</f>
        <v>1</v>
      </c>
      <c r="E20" s="22">
        <f>+D20/D$17</f>
        <v>0.5</v>
      </c>
      <c r="G20">
        <v>2020</v>
      </c>
      <c r="H20" s="32">
        <v>0.25</v>
      </c>
      <c r="I20" s="9" t="str">
        <f t="shared" si="6"/>
        <v>Empatado</v>
      </c>
      <c r="J20" s="33" t="s">
        <v>164</v>
      </c>
      <c r="K20" s="32">
        <v>0.25</v>
      </c>
      <c r="L20" s="9" t="str">
        <f t="shared" si="7"/>
        <v>Empatado</v>
      </c>
      <c r="M20" s="33" t="s">
        <v>164</v>
      </c>
      <c r="N20" s="32">
        <v>0</v>
      </c>
      <c r="O20" s="9" t="str">
        <f t="shared" si="8"/>
        <v>Perdido</v>
      </c>
      <c r="P20" s="33" t="s">
        <v>52</v>
      </c>
      <c r="Q20" s="34">
        <f t="shared" si="4"/>
        <v>0.5</v>
      </c>
    </row>
    <row r="21" spans="3:17" ht="15.75" thickBot="1" x14ac:dyDescent="0.3">
      <c r="G21">
        <v>2021</v>
      </c>
      <c r="H21" s="32"/>
      <c r="I21" s="9"/>
      <c r="J21" s="35"/>
      <c r="K21" s="32"/>
      <c r="L21" s="9"/>
      <c r="M21" s="35"/>
      <c r="N21" s="32"/>
      <c r="O21" s="9"/>
      <c r="P21" s="35"/>
      <c r="Q21" s="34"/>
    </row>
    <row r="22" spans="3:17" ht="16.5" thickTop="1" thickBot="1" x14ac:dyDescent="0.3">
      <c r="C22" s="4" t="s">
        <v>32</v>
      </c>
      <c r="D22" s="4">
        <f>+SUM(D23:D25)</f>
        <v>2</v>
      </c>
      <c r="E22" s="20" t="s">
        <v>15</v>
      </c>
      <c r="G22" s="19" t="s">
        <v>6</v>
      </c>
      <c r="H22" s="38">
        <f>SUM(H15:H21)</f>
        <v>0.25</v>
      </c>
      <c r="I22" s="19"/>
      <c r="J22" s="39"/>
      <c r="K22" s="38">
        <f>SUM(K15:K21)</f>
        <v>0.75</v>
      </c>
      <c r="L22" s="19"/>
      <c r="M22" s="39"/>
      <c r="N22" s="38">
        <f>SUM(N15:N21)</f>
        <v>1</v>
      </c>
      <c r="O22" s="19"/>
      <c r="P22" s="39"/>
      <c r="Q22" s="38">
        <f>SUM(Q13:Q21)</f>
        <v>2</v>
      </c>
    </row>
    <row r="23" spans="3:17" ht="15.75" thickTop="1" x14ac:dyDescent="0.25">
      <c r="C23" s="21" t="s">
        <v>16</v>
      </c>
      <c r="D23">
        <f>+COUNTIF($L$13:$L$21,"Ganado")</f>
        <v>1</v>
      </c>
      <c r="E23" s="22">
        <f>+D23/D$22</f>
        <v>0.5</v>
      </c>
    </row>
    <row r="24" spans="3:17" x14ac:dyDescent="0.25">
      <c r="C24" s="21" t="s">
        <v>23</v>
      </c>
      <c r="D24">
        <f>+COUNTIF($L$13:$L$21,"Empatado")</f>
        <v>1</v>
      </c>
      <c r="E24" s="22">
        <f>+D24/D$22</f>
        <v>0.5</v>
      </c>
    </row>
    <row r="25" spans="3:17" x14ac:dyDescent="0.25">
      <c r="C25" s="21" t="s">
        <v>5</v>
      </c>
      <c r="D25">
        <f>+COUNTIF($L$13:$L$21,"Perdido")</f>
        <v>0</v>
      </c>
      <c r="E25" s="22">
        <f>+D25/D$22</f>
        <v>0</v>
      </c>
    </row>
    <row r="27" spans="3:17" ht="15.75" thickBot="1" x14ac:dyDescent="0.3">
      <c r="C27" s="4" t="s">
        <v>33</v>
      </c>
      <c r="D27" s="4">
        <f>+SUM(D28:D30)</f>
        <v>2</v>
      </c>
      <c r="E27" s="20" t="s">
        <v>15</v>
      </c>
    </row>
    <row r="28" spans="3:17" ht="15.75" thickTop="1" x14ac:dyDescent="0.25">
      <c r="C28" s="21" t="s">
        <v>16</v>
      </c>
      <c r="D28">
        <f>+COUNTIF($O$13:$O$21,"Ganado")</f>
        <v>1</v>
      </c>
      <c r="E28" s="22">
        <f>+D28/D$27</f>
        <v>0.5</v>
      </c>
    </row>
    <row r="29" spans="3:17" x14ac:dyDescent="0.25">
      <c r="C29" s="21" t="s">
        <v>23</v>
      </c>
      <c r="D29">
        <f>+COUNTIF($O$13:$O$21,"Empatado")</f>
        <v>0</v>
      </c>
      <c r="E29" s="22">
        <f>+D29/D$27</f>
        <v>0</v>
      </c>
    </row>
    <row r="30" spans="3:17" x14ac:dyDescent="0.25">
      <c r="C30" s="21" t="s">
        <v>5</v>
      </c>
      <c r="D30">
        <f>+COUNTIF($O$13:$O$21,"Perdido")</f>
        <v>1</v>
      </c>
      <c r="E30" s="22">
        <f>+D30/D$27</f>
        <v>0.5</v>
      </c>
    </row>
  </sheetData>
  <pageMargins left="0.7" right="0.7" top="0.75" bottom="0.75" header="0.3" footer="0.3"/>
  <pageSetup paperSize="9"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Handicaps</vt:lpstr>
      <vt:lpstr>Resumen</vt:lpstr>
      <vt:lpstr>Marcos</vt:lpstr>
      <vt:lpstr>Juan</vt:lpstr>
      <vt:lpstr>Diego</vt:lpstr>
      <vt:lpstr>Fertxo</vt:lpstr>
      <vt:lpstr>Nacho</vt:lpstr>
      <vt:lpstr>Pedro</vt:lpstr>
      <vt:lpstr>Jido</vt:lpstr>
      <vt:lpstr>Jacobo</vt:lpstr>
      <vt:lpstr>Gurpegui</vt:lpstr>
      <vt:lpstr>Medina</vt:lpstr>
      <vt:lpstr>Herrero</vt:lpstr>
      <vt:lpstr>Ratón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Suárez de Lezo</dc:creator>
  <cp:keywords>Public</cp:keywords>
  <cp:lastModifiedBy>Juan Suarez-de-Lezo</cp:lastModifiedBy>
  <dcterms:created xsi:type="dcterms:W3CDTF">2019-10-24T08:20:50Z</dcterms:created>
  <dcterms:modified xsi:type="dcterms:W3CDTF">2026-09-16T07:44:53Z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6d021d12-e56f-492a-a161-c256c2647671</vt:lpwstr>
  </property>
  <property fmtid="{D5CDD505-2E9C-101B-9397-08002B2CF9AE}" pid="3" name="MSIP_Label_958510b9-3810-472f-9abf-3a689c488070_Enabled">
    <vt:lpwstr>true</vt:lpwstr>
  </property>
  <property fmtid="{D5CDD505-2E9C-101B-9397-08002B2CF9AE}" pid="4" name="MSIP_Label_958510b9-3810-472f-9abf-3a689c488070_SetDate">
    <vt:lpwstr>2022-12-19T17:52:57Z</vt:lpwstr>
  </property>
  <property fmtid="{D5CDD505-2E9C-101B-9397-08002B2CF9AE}" pid="5" name="MSIP_Label_958510b9-3810-472f-9abf-3a689c488070_Method">
    <vt:lpwstr>Standard</vt:lpwstr>
  </property>
  <property fmtid="{D5CDD505-2E9C-101B-9397-08002B2CF9AE}" pid="6" name="MSIP_Label_958510b9-3810-472f-9abf-3a689c488070_Name">
    <vt:lpwstr>958510b9-3810-472f-9abf-3a689c488070</vt:lpwstr>
  </property>
  <property fmtid="{D5CDD505-2E9C-101B-9397-08002B2CF9AE}" pid="7" name="MSIP_Label_958510b9-3810-472f-9abf-3a689c488070_SiteId">
    <vt:lpwstr>1e9b61e8-e590-4abc-b1af-24125e330d2a</vt:lpwstr>
  </property>
  <property fmtid="{D5CDD505-2E9C-101B-9397-08002B2CF9AE}" pid="8" name="MSIP_Label_958510b9-3810-472f-9abf-3a689c488070_ActionId">
    <vt:lpwstr>358c596e-b931-41ca-b538-ef69734ff8b6</vt:lpwstr>
  </property>
  <property fmtid="{D5CDD505-2E9C-101B-9397-08002B2CF9AE}" pid="9" name="MSIP_Label_958510b9-3810-472f-9abf-3a689c488070_ContentBits">
    <vt:lpwstr>3</vt:lpwstr>
  </property>
  <property fmtid="{D5CDD505-2E9C-101B-9397-08002B2CF9AE}" pid="10" name="db.comClassification">
    <vt:lpwstr>Public</vt:lpwstr>
  </property>
</Properties>
</file>